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Painel Executivo" sheetId="1" state="visible" r:id="rId1"/>
    <sheet name="📋 Avaliação Pastoral (Geral)" sheetId="2" state="visible" r:id="rId2"/>
    <sheet name="📝 Ficha de Avaliação (Modelo)" sheetId="3" state="visible" r:id="rId3"/>
    <sheet name="🖨️ Relatório Trimestral" sheetId="4" state="visible" r:id="rId4"/>
    <sheet name="👤 Lista de Pastores" sheetId="5" state="visible" r:id="rId5"/>
    <sheet name="🏛️ Mapeamento Distrital" sheetId="6" state="visible" r:id="rId6"/>
    <sheet name="⚙️ Critérios de Avaliação" sheetId="7" state="visible" r:id="rId7"/>
  </sheets>
  <definedNames>
    <definedName name="_xlnm._FilterDatabase" localSheetId="1" hidden="1">'📋 Avaliação Pastoral (Geral)'!$A$4:$O$105</definedName>
    <definedName name="_xlnm._FilterDatabase" localSheetId="4" hidden="1">'👤 Lista de Pastores'!$A$3:$F$103</definedName>
    <definedName name="_xlnm._FilterDatabase" localSheetId="5" hidden="1">'🏛️ Mapeamento Distrital'!$A$3:$G$34</definedName>
    <definedName name="_xlnm._FilterDatabase" localSheetId="6" hidden="1">'⚙️ Critérios de Avaliação'!$A$3:$D$54</definedName>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6"/>
    </font>
    <font>
      <name val="Calibri"/>
      <i val="1"/>
      <color rgb="00E0E6ED"/>
      <sz val="11"/>
    </font>
    <font>
      <name val="Calibri"/>
      <b val="1"/>
      <i val="1"/>
      <color rgb="00D4AF37"/>
      <sz val="11"/>
    </font>
    <font>
      <name val="Calibri"/>
      <b val="1"/>
      <color rgb="00595959"/>
      <sz val="10"/>
    </font>
    <font>
      <name val="Calibri"/>
      <b val="1"/>
      <color rgb="000F2537"/>
      <sz val="22"/>
    </font>
    <font>
      <name val="Calibri"/>
      <b val="1"/>
      <color rgb="00FFFFFF"/>
      <sz val="12"/>
    </font>
    <font>
      <name val="Calibri"/>
      <b val="1"/>
      <sz val="11"/>
    </font>
    <font>
      <name val="Calibri"/>
      <i val="1"/>
      <color rgb="00595959"/>
      <sz val="9"/>
    </font>
    <font>
      <name val="Calibri"/>
      <b val="1"/>
      <color rgb="00FFFFFF"/>
      <sz val="11"/>
    </font>
    <font>
      <name val="Calibri"/>
      <b val="1"/>
      <i val="1"/>
      <color rgb="000F2537"/>
      <sz val="10"/>
    </font>
    <font>
      <name val="Calibri"/>
      <sz val="11"/>
    </font>
    <font>
      <name val="Calibri"/>
      <color rgb="00A6A6A6"/>
      <sz val="9"/>
    </font>
    <font>
      <name val="Calibri"/>
      <b val="1"/>
      <color rgb="000F2537"/>
      <sz val="14"/>
    </font>
  </fonts>
  <fills count="9">
    <fill>
      <patternFill/>
    </fill>
    <fill>
      <patternFill patternType="gray125"/>
    </fill>
    <fill>
      <patternFill patternType="solid">
        <fgColor rgb="000F2537"/>
        <bgColor rgb="000F2537"/>
      </patternFill>
    </fill>
    <fill>
      <patternFill patternType="solid">
        <fgColor rgb="001F4E79"/>
        <bgColor rgb="001F4E79"/>
      </patternFill>
    </fill>
    <fill>
      <patternFill patternType="solid">
        <fgColor rgb="00EAECEE"/>
        <bgColor rgb="00EAECEE"/>
      </patternFill>
    </fill>
    <fill>
      <patternFill patternType="solid">
        <fgColor rgb="00FFFFFF"/>
        <bgColor rgb="00FFFFFF"/>
      </patternFill>
    </fill>
    <fill>
      <patternFill patternType="solid">
        <fgColor rgb="00FFFBF0"/>
        <bgColor rgb="00FFFBF0"/>
      </patternFill>
    </fill>
    <fill>
      <patternFill patternType="solid">
        <fgColor rgb="00F2F5F9"/>
        <bgColor rgb="00F2F5F9"/>
      </patternFill>
    </fill>
    <fill>
      <patternFill patternType="solid">
        <fgColor rgb="00D9E1F2"/>
        <bgColor rgb="00D9E1F2"/>
      </patternFill>
    </fill>
  </fills>
  <borders count="12">
    <border>
      <left/>
      <right/>
      <top/>
      <bottom/>
      <diagonal/>
    </border>
    <border>
      <left style="thin">
        <color rgb="00D9D9D9"/>
      </left>
      <right style="thin">
        <color rgb="00D9D9D9"/>
      </right>
      <top style="thin">
        <color rgb="00D9D9D9"/>
      </top>
      <bottom style="thin">
        <color rgb="00D9D9D9"/>
      </bottom>
    </border>
    <border>
      <left style="medium">
        <color rgb="00D4AF37"/>
      </left>
      <right style="medium">
        <color rgb="00D4AF37"/>
      </right>
      <top style="medium">
        <color rgb="00D4AF37"/>
      </top>
      <bottom style="medium">
        <color rgb="00D4AF37"/>
      </bottom>
    </border>
    <border>
      <left style="thin">
        <color rgb="00D9D9D9"/>
      </left>
      <right style="thin">
        <color rgb="00D9D9D9"/>
      </right>
      <top style="thin">
        <color rgb="00D9D9D9"/>
      </top>
      <bottom style="medium">
        <color rgb="000F2537"/>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
      <left/>
      <right/>
      <top style="thin">
        <color rgb="00D9D9D9"/>
      </top>
      <bottom style="thin">
        <color rgb="00D9D9D9"/>
      </bottom>
      <diagonal/>
    </border>
    <border>
      <left/>
      <right/>
      <top style="medium">
        <color rgb="00D4AF37"/>
      </top>
      <bottom/>
      <diagonal/>
    </border>
    <border>
      <left/>
      <right style="medium">
        <color rgb="00D4AF37"/>
      </right>
      <top style="medium">
        <color rgb="00D4AF37"/>
      </top>
      <bottom/>
      <diagonal/>
    </border>
    <border>
      <left/>
      <right/>
      <top style="medium">
        <color rgb="00D4AF37"/>
      </top>
      <bottom style="medium">
        <color rgb="00D4AF37"/>
      </bottom>
      <diagonal/>
    </border>
    <border>
      <left/>
      <right style="medium">
        <color rgb="00D4AF37"/>
      </right>
      <top style="medium">
        <color rgb="00D4AF37"/>
      </top>
      <bottom style="medium">
        <color rgb="00D4AF37"/>
      </bottom>
      <diagonal/>
    </border>
  </borders>
  <cellStyleXfs count="1">
    <xf numFmtId="0" fontId="0" fillId="0" borderId="0"/>
  </cellStyleXfs>
  <cellXfs count="7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2" borderId="0" applyAlignment="1" pivotButton="0" quotePrefix="0" xfId="0">
      <alignment horizontal="center" vertical="center" wrapText="1"/>
    </xf>
    <xf numFmtId="0" fontId="4" fillId="4" borderId="1" applyAlignment="1" pivotButton="0" quotePrefix="0" xfId="0">
      <alignment horizontal="center" vertical="center" wrapText="1"/>
    </xf>
    <xf numFmtId="0" fontId="5" fillId="5" borderId="1" applyAlignment="1" pivotButton="0" quotePrefix="0" xfId="0">
      <alignment horizontal="center" vertical="center" wrapText="1"/>
    </xf>
    <xf numFmtId="2" fontId="5" fillId="5" borderId="1" applyAlignment="1" pivotButton="0" quotePrefix="0" xfId="0">
      <alignment horizontal="center" vertical="center" wrapText="1"/>
    </xf>
    <xf numFmtId="0" fontId="6" fillId="3" borderId="0" applyAlignment="1" pivotButton="0" quotePrefix="0" xfId="0">
      <alignment horizontal="left" vertical="center" indent="1"/>
    </xf>
    <xf numFmtId="0" fontId="7" fillId="0" borderId="1" applyAlignment="1" pivotButton="0" quotePrefix="0" xfId="0">
      <alignment horizontal="right" vertical="center"/>
    </xf>
    <xf numFmtId="0" fontId="0" fillId="0" borderId="1" pivotButton="0" quotePrefix="0" xfId="0"/>
    <xf numFmtId="0" fontId="7" fillId="6" borderId="1" applyAlignment="1" pivotButton="0" quotePrefix="0" xfId="0">
      <alignment horizontal="left" vertical="center"/>
    </xf>
    <xf numFmtId="0" fontId="7" fillId="0" borderId="1" applyAlignment="1" pivotButton="0" quotePrefix="0" xfId="0">
      <alignment horizontal="center" vertical="center" wrapText="1"/>
    </xf>
    <xf numFmtId="0" fontId="0" fillId="0" borderId="1" applyAlignment="1" pivotButton="0" quotePrefix="0" xfId="0">
      <alignment horizontal="left" vertical="center"/>
    </xf>
    <xf numFmtId="2" fontId="5"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7" fillId="7" borderId="1" applyAlignment="1" pivotButton="0" quotePrefix="0" xfId="0">
      <alignment horizontal="left" vertical="center" indent="1"/>
    </xf>
    <xf numFmtId="0" fontId="0" fillId="7" borderId="1" pivotButton="0" quotePrefix="0" xfId="0"/>
    <xf numFmtId="0" fontId="0" fillId="7" borderId="1" applyAlignment="1" pivotButton="0" quotePrefix="0" xfId="0">
      <alignment horizontal="center" vertical="center" wrapText="1"/>
    </xf>
    <xf numFmtId="2" fontId="7" fillId="7" borderId="1" applyAlignment="1" pivotButton="0" quotePrefix="0" xfId="0">
      <alignment horizontal="center" vertical="center" wrapText="1"/>
    </xf>
    <xf numFmtId="164" fontId="0" fillId="7"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5" borderId="1" applyAlignment="1" pivotButton="0" quotePrefix="0" xfId="0">
      <alignment horizontal="left" vertical="center" indent="1"/>
    </xf>
    <xf numFmtId="0" fontId="0" fillId="5" borderId="1" pivotButton="0" quotePrefix="0" xfId="0"/>
    <xf numFmtId="0" fontId="0" fillId="5" borderId="1" applyAlignment="1" pivotButton="0" quotePrefix="0" xfId="0">
      <alignment horizontal="center" vertical="center" wrapText="1"/>
    </xf>
    <xf numFmtId="2" fontId="7" fillId="5" borderId="1" applyAlignment="1" pivotButton="0" quotePrefix="0" xfId="0">
      <alignment horizontal="center" vertical="center" wrapText="1"/>
    </xf>
    <xf numFmtId="164" fontId="0"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5" borderId="1" applyAlignment="1" pivotButton="0" quotePrefix="0" xfId="0">
      <alignment horizontal="center" vertical="center" wrapText="1"/>
    </xf>
    <xf numFmtId="0" fontId="7" fillId="8" borderId="1" applyAlignment="1" pivotButton="0" quotePrefix="0" xfId="0">
      <alignment horizontal="left" vertical="center" indent="1"/>
    </xf>
    <xf numFmtId="0" fontId="0" fillId="8" borderId="1" pivotButton="0" quotePrefix="0" xfId="0"/>
    <xf numFmtId="0" fontId="7" fillId="8" borderId="1" applyAlignment="1" pivotButton="0" quotePrefix="0" xfId="0">
      <alignment horizontal="center" vertical="center" wrapText="1"/>
    </xf>
    <xf numFmtId="164" fontId="7" fillId="8" borderId="1" applyAlignment="1" pivotButton="0" quotePrefix="0" xfId="0">
      <alignment horizontal="center" vertical="center" wrapText="1"/>
    </xf>
    <xf numFmtId="2" fontId="7" fillId="8" borderId="1" applyAlignment="1" pivotButton="0" quotePrefix="0" xfId="0">
      <alignment horizontal="center" vertical="center" wrapText="1"/>
    </xf>
    <xf numFmtId="0" fontId="10" fillId="0" borderId="0" applyAlignment="1" pivotButton="0" quotePrefix="0" xfId="0">
      <alignment horizontal="center" vertical="center" wrapText="1"/>
    </xf>
    <xf numFmtId="0" fontId="9" fillId="2" borderId="3" applyAlignment="1" pivotButton="0" quotePrefix="0" xfId="0">
      <alignment horizontal="center" vertical="center" wrapText="1"/>
    </xf>
    <xf numFmtId="0" fontId="0" fillId="7" borderId="1" applyAlignment="1" pivotButton="0" quotePrefix="0" xfId="0">
      <alignment horizontal="left" vertical="center"/>
    </xf>
    <xf numFmtId="2" fontId="0" fillId="7" borderId="1" applyAlignment="1" pivotButton="0" quotePrefix="0" xfId="0">
      <alignment horizontal="center" vertical="center" wrapText="1"/>
    </xf>
    <xf numFmtId="0" fontId="0" fillId="5" borderId="1" applyAlignment="1" pivotButton="0" quotePrefix="0" xfId="0">
      <alignment horizontal="left" vertical="center"/>
    </xf>
    <xf numFmtId="2" fontId="0" fillId="5" borderId="1" applyAlignment="1" pivotButton="0" quotePrefix="0" xfId="0">
      <alignment horizontal="center" vertical="center" wrapText="1"/>
    </xf>
    <xf numFmtId="0" fontId="7" fillId="8" borderId="1" applyAlignment="1" pivotButton="0" quotePrefix="0" xfId="0">
      <alignment horizontal="right" vertical="center"/>
    </xf>
    <xf numFmtId="0" fontId="9" fillId="3" borderId="1" applyAlignment="1" pivotButton="0" quotePrefix="0" xfId="0">
      <alignment horizontal="center" vertical="center" wrapText="1"/>
    </xf>
    <xf numFmtId="0" fontId="7" fillId="0" borderId="1" pivotButton="0" quotePrefix="0" xfId="0"/>
    <xf numFmtId="0" fontId="11" fillId="0" borderId="1" pivotButton="0" quotePrefix="0" xfId="0"/>
    <xf numFmtId="0" fontId="0" fillId="0" borderId="1" applyAlignment="1" pivotButton="0" quotePrefix="0" xfId="0">
      <alignment horizontal="center" vertical="center" wrapText="1"/>
    </xf>
    <xf numFmtId="2" fontId="7" fillId="0" borderId="1" applyAlignment="1" pivotButton="0" quotePrefix="0" xfId="0">
      <alignment horizontal="center" vertical="center" wrapText="1"/>
    </xf>
    <xf numFmtId="0" fontId="8" fillId="7" borderId="0" applyAlignment="1" pivotButton="0" quotePrefix="0" xfId="0">
      <alignment horizontal="justify" vertical="center" wrapText="1"/>
    </xf>
    <xf numFmtId="0" fontId="7" fillId="8" borderId="0" applyAlignment="1" pivotButton="0" quotePrefix="0" xfId="0">
      <alignment horizontal="center" vertical="center" wrapText="1"/>
    </xf>
    <xf numFmtId="0" fontId="9" fillId="2" borderId="1" applyAlignment="1" pivotButton="0" quotePrefix="0" xfId="0">
      <alignment horizontal="left" vertical="center"/>
    </xf>
    <xf numFmtId="0" fontId="11" fillId="7" borderId="1" applyAlignment="1" pivotButton="0" quotePrefix="0" xfId="0">
      <alignment horizontal="left" vertical="center"/>
    </xf>
    <xf numFmtId="0" fontId="12" fillId="7" borderId="1" applyAlignment="1" pivotButton="0" quotePrefix="0" xfId="0">
      <alignment horizontal="center" vertical="center" wrapText="1"/>
    </xf>
    <xf numFmtId="0" fontId="11" fillId="5" borderId="1" applyAlignment="1" pivotButton="0" quotePrefix="0" xfId="0">
      <alignment horizontal="left" vertical="center"/>
    </xf>
    <xf numFmtId="0" fontId="12" fillId="5" borderId="1" applyAlignment="1" pivotButton="0" quotePrefix="0" xfId="0">
      <alignment horizontal="center" vertical="center" wrapText="1"/>
    </xf>
    <xf numFmtId="0" fontId="7" fillId="8" borderId="0" applyAlignment="1" pivotButton="0" quotePrefix="0" xfId="0">
      <alignment horizontal="left" vertical="center"/>
    </xf>
    <xf numFmtId="0" fontId="8"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13" fillId="0" borderId="0" applyAlignment="1" pivotButton="0" quotePrefix="0" xfId="0">
      <alignment horizontal="center" vertical="center" wrapText="1"/>
    </xf>
    <xf numFmtId="0" fontId="7" fillId="0" borderId="0" applyAlignment="1" pivotButton="0" quotePrefix="0" xfId="0">
      <alignment horizontal="right" vertical="center"/>
    </xf>
    <xf numFmtId="0" fontId="7" fillId="6" borderId="2" pivotButton="0" quotePrefix="0" xfId="0"/>
    <xf numFmtId="0" fontId="11" fillId="5" borderId="1" applyAlignment="1" pivotButton="0" quotePrefix="0" xfId="0">
      <alignment horizontal="center" vertical="center" wrapText="1"/>
    </xf>
    <xf numFmtId="0" fontId="11" fillId="7" borderId="1" applyAlignment="1" pivotButton="0" quotePrefix="0" xfId="0">
      <alignment horizontal="center" vertical="center" wrapText="1"/>
    </xf>
    <xf numFmtId="0" fontId="7" fillId="8" borderId="1" applyAlignment="1" pivotButton="0" quotePrefix="0" xfId="0">
      <alignment horizontal="left" vertical="center"/>
    </xf>
    <xf numFmtId="0" fontId="9" fillId="2" borderId="1" applyAlignment="1" pivotButton="0" quotePrefix="0" xfId="0">
      <alignment horizontal="left" vertical="center" indent="1"/>
    </xf>
    <xf numFmtId="0" fontId="0" fillId="0" borderId="0" applyAlignment="1" pivotButton="0" quotePrefix="0" xfId="0">
      <alignment horizontal="center" vertical="center" wrapText="1"/>
    </xf>
    <xf numFmtId="0" fontId="7" fillId="7" borderId="1" applyAlignment="1" pivotButton="0" quotePrefix="0" xfId="0">
      <alignment horizontal="left" vertical="center"/>
    </xf>
    <xf numFmtId="0" fontId="7" fillId="5" borderId="1" applyAlignment="1" pivotButton="0" quotePrefix="0" xfId="0">
      <alignment horizontal="left" vertical="center"/>
    </xf>
    <xf numFmtId="0" fontId="0" fillId="0" borderId="6" pivotButton="0" quotePrefix="0" xfId="0"/>
    <xf numFmtId="0" fontId="0" fillId="0" borderId="7" pivotButton="0" quotePrefix="0" xfId="0"/>
    <xf numFmtId="0" fontId="0" fillId="0" borderId="10" pivotButton="0" quotePrefix="0" xfId="0"/>
    <xf numFmtId="0" fontId="0" fillId="0" borderId="11" pivotButton="0" quotePrefix="0" xfId="0"/>
  </cellXfs>
  <cellStyles count="1">
    <cellStyle name="Normal" xfId="0" builtinId="0" hidden="0"/>
  </cellStyles>
  <dxfs count="5">
    <dxf>
      <font>
        <b val="1"/>
        <color rgb="00375623"/>
      </font>
      <fill>
        <patternFill patternType="solid">
          <fgColor rgb="00E2EFDA"/>
          <bgColor rgb="00E2EFDA"/>
        </patternFill>
      </fill>
    </dxf>
    <dxf>
      <font>
        <b val="1"/>
        <color rgb="001F4E79"/>
      </font>
      <fill>
        <patternFill patternType="solid">
          <fgColor rgb="00DDEBF7"/>
          <bgColor rgb="00DDEBF7"/>
        </patternFill>
      </fill>
    </dxf>
    <dxf>
      <font>
        <b val="1"/>
        <color rgb="007F6000"/>
      </font>
      <fill>
        <patternFill patternType="solid">
          <fgColor rgb="00FFF2CC"/>
          <bgColor rgb="00FFF2CC"/>
        </patternFill>
      </fill>
    </dxf>
    <dxf>
      <font>
        <b val="1"/>
        <color rgb="00C65911"/>
      </font>
      <fill>
        <patternFill patternType="solid">
          <fgColor rgb="00FCE4D6"/>
          <bgColor rgb="00FCE4D6"/>
        </patternFill>
      </fill>
    </dxf>
    <dxf>
      <font>
        <b val="1"/>
        <color rgb="00C00000"/>
      </font>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28" customWidth="1" min="1" max="1"/>
    <col width="15" customWidth="1" min="2" max="2"/>
    <col width="18" customWidth="1" min="3" max="3"/>
    <col width="18" customWidth="1" min="4" max="4"/>
    <col width="22" customWidth="1" min="5" max="5"/>
    <col width="22" customWidth="1" min="6" max="6"/>
    <col width="22" customWidth="1" min="7" max="7"/>
    <col width="18" customWidth="1" min="8" max="8"/>
    <col width="18" customWidth="1" min="9" max="9"/>
  </cols>
  <sheetData>
    <row r="1" ht="42" customHeight="1">
      <c r="A1" s="1" t="inlineStr">
        <is>
          <t>MISSÃO DAS IGREJAS ADVENTISTAS DO SÉTIMO DIA DA UNIÃO SUDOESTE DE ANGOLA</t>
        </is>
      </c>
    </row>
    <row r="2" ht="24" customHeight="1">
      <c r="A2" s="2" t="inlineStr">
        <is>
          <t>PAINEL EXECUTIVO DE AVALIAÇÃO PASTORAL E MAPEAMENTO DISTRITAL 2026</t>
        </is>
      </c>
    </row>
    <row r="3" ht="20" customHeight="1">
      <c r="A3" s="3" t="inlineStr">
        <is>
          <t>✨ SISTEMA PREMIUM CONCEBIDO E DESENVOLVIDO POR: VALENTINO CANGUELE</t>
        </is>
      </c>
    </row>
    <row r="5" ht="20" customHeight="1">
      <c r="A5" s="4" t="inlineStr">
        <is>
          <t>TOTAL DE PASTORES</t>
        </is>
      </c>
      <c r="B5" s="68" t="n"/>
      <c r="C5" s="4" t="inlineStr">
        <is>
          <t>CONGREGAÇÕES MAPEADAS</t>
        </is>
      </c>
      <c r="D5" s="68" t="n"/>
      <c r="E5" s="4" t="inlineStr">
        <is>
          <t>MÉDIA GERAL DA MISSÃO</t>
        </is>
      </c>
      <c r="F5" s="68" t="n"/>
      <c r="G5" s="4" t="inlineStr">
        <is>
          <t>CLASSIFICAÇÃO PREDOMINANTE</t>
        </is>
      </c>
      <c r="H5" s="69" t="n"/>
      <c r="I5" s="68" t="n"/>
    </row>
    <row r="6" ht="36" customHeight="1">
      <c r="A6" s="5">
        <f>COUNTA('📋 Avaliação Pastoral (Geral)'!B6:B105)</f>
        <v/>
      </c>
      <c r="B6" s="68" t="n"/>
      <c r="C6" s="5" t="inlineStr">
        <is>
          <t>330</t>
        </is>
      </c>
      <c r="D6" s="68" t="n"/>
      <c r="E6" s="6">
        <f>AVERAGE('📋 Avaliação Pastoral (Geral)'!M6:M105)</f>
        <v/>
      </c>
      <c r="F6" s="68" t="n"/>
      <c r="G6" s="5" t="inlineStr">
        <is>
          <t>MUITO BOM (MB)</t>
        </is>
      </c>
      <c r="H6" s="69" t="n"/>
      <c r="I6" s="68" t="n"/>
    </row>
    <row r="8" ht="24" customHeight="1">
      <c r="A8" s="7" t="inlineStr">
        <is>
          <t>🔍 CONSULTA RÁPIDA DE PASTOR (FILTRO INDIVIDUAL PREMIUM)</t>
        </is>
      </c>
    </row>
    <row r="9">
      <c r="A9" s="8" t="inlineStr">
        <is>
          <t>SELECIONAR PASTOR:</t>
        </is>
      </c>
      <c r="B9" s="68" t="n"/>
      <c r="C9" s="10" t="inlineStr">
        <is>
          <t>Pr. Enoque Paulino</t>
        </is>
      </c>
      <c r="D9" s="69" t="n"/>
      <c r="E9" s="68" t="n"/>
      <c r="F9" s="8" t="inlineStr">
        <is>
          <t>PONTUAÇÃO TOTAL:</t>
        </is>
      </c>
      <c r="G9" s="68" t="n"/>
      <c r="H9" s="11">
        <f>VLOOKUP(C9, '📋 Avaliação Pastoral (Geral)'!$B$6:$O$105, 11, FALSE)</f>
        <v/>
      </c>
      <c r="I9" s="68" t="n"/>
    </row>
    <row r="10">
      <c r="A10" s="8" t="inlineStr">
        <is>
          <t>DISTRITO / FUNÇÃO:</t>
        </is>
      </c>
      <c r="B10" s="68" t="n"/>
      <c r="C10" s="12">
        <f>VLOOKUP(C9, '📋 Avaliação Pastoral (Geral)'!$B$6:$O$105, 2, FALSE)</f>
        <v/>
      </c>
      <c r="D10" s="69" t="n"/>
      <c r="E10" s="68" t="n"/>
      <c r="F10" s="8" t="inlineStr">
        <is>
          <t>MÉDIA GERAL FINAL:</t>
        </is>
      </c>
      <c r="G10" s="68" t="n"/>
      <c r="H10" s="13">
        <f>VLOOKUP(C9, '📋 Avaliação Pastoral (Geral)'!$B$6:$O$105, 12, FALSE)</f>
        <v/>
      </c>
      <c r="I10" s="68" t="n"/>
    </row>
    <row r="11">
      <c r="A11" s="8" t="inlineStr">
        <is>
          <t>PROVÍNCIA / CARGO:</t>
        </is>
      </c>
      <c r="B11" s="68" t="n"/>
      <c r="C11" s="12">
        <f>VLOOKUP(C9, '📋 Avaliação Pastoral (Geral)'!$B$6:$O$105, 3, FALSE) &amp; " - " &amp; VLOOKUP(C9, '📋 Avaliação Pastoral (Geral)'!$B$6:$O$105, 4, FALSE)</f>
        <v/>
      </c>
      <c r="D11" s="69" t="n"/>
      <c r="E11" s="68" t="n"/>
      <c r="F11" s="8" t="inlineStr">
        <is>
          <t>CLASSIFICAÇÃO:</t>
        </is>
      </c>
      <c r="G11" s="68" t="n"/>
      <c r="H11" s="11">
        <f>VLOOKUP(C9, '📋 Avaliação Pastoral (Geral)'!$B$6:$O$105, 13, FALSE)</f>
        <v/>
      </c>
      <c r="I11" s="68" t="n"/>
    </row>
    <row r="12">
      <c r="A12" s="8" t="inlineStr">
        <is>
          <t>CONTACTO TELEFÓNICO:</t>
        </is>
      </c>
      <c r="B12" s="68" t="n"/>
      <c r="C12" s="12">
        <f>VLOOKUP(C9, '📋 Avaliação Pastoral (Geral)'!$B$6:$O$105, 5, FALSE)</f>
        <v/>
      </c>
      <c r="D12" s="69" t="n"/>
      <c r="E12" s="68" t="n"/>
      <c r="F12" s="8" t="inlineStr">
        <is>
          <t>STATUS FICHA:</t>
        </is>
      </c>
      <c r="G12" s="68" t="n"/>
      <c r="H12" s="14">
        <f>VLOOKUP(C9, '📋 Avaliação Pastoral (Geral)'!$B$6:$O$105, 14, FALSE)</f>
        <v/>
      </c>
      <c r="I12" s="68" t="n"/>
    </row>
    <row r="14" ht="25" customHeight="1">
      <c r="A14" s="7" t="inlineStr">
        <is>
          <t>DESEMPENHO GLOBAL POR ÁREA DE AVALIAÇÃO PASTORAL</t>
        </is>
      </c>
    </row>
    <row r="15" ht="25" customHeight="1">
      <c r="A15" s="15" t="inlineStr">
        <is>
          <t>Área de Avaliação</t>
        </is>
      </c>
      <c r="B15" s="68" t="n"/>
      <c r="C15" s="15" t="inlineStr">
        <is>
          <t>Nº de Critérios</t>
        </is>
      </c>
      <c r="D15" s="15" t="inlineStr">
        <is>
          <t>Pontuação Máx</t>
        </is>
      </c>
      <c r="E15" s="15" t="inlineStr">
        <is>
          <t>Média da Missão</t>
        </is>
      </c>
      <c r="F15" s="15" t="inlineStr">
        <is>
          <t>% de Aproveitamento</t>
        </is>
      </c>
      <c r="G15" s="15" t="inlineStr">
        <is>
          <t>Classificação Geral</t>
        </is>
      </c>
      <c r="H15" s="69" t="n"/>
      <c r="I15" s="68" t="n"/>
    </row>
    <row r="16" ht="22" customHeight="1">
      <c r="A16" s="16" t="inlineStr">
        <is>
          <t>1. Assistência Pastoral</t>
        </is>
      </c>
      <c r="B16" s="68" t="n"/>
      <c r="C16" s="18" t="n">
        <v>11</v>
      </c>
      <c r="D16" s="18" t="n">
        <v>55</v>
      </c>
      <c r="E16" s="19">
        <f>AVERAGE('📋 Avaliação Pastoral (Geral)'!G6:G105)</f>
        <v/>
      </c>
      <c r="F16" s="20">
        <f>E16/5</f>
        <v/>
      </c>
      <c r="G16" s="21">
        <f>IF(E16&gt;=4.5,"Excelente (E)", IF(E16&gt;=3.5,"Muito Bom (MB)", IF(E16&gt;=2.5,"Bom (B)", IF(E16&gt;=1.5,"Regular (R)","Deficiente (D)"))))</f>
        <v/>
      </c>
      <c r="H16" s="69" t="n"/>
      <c r="I16" s="68" t="n"/>
    </row>
    <row r="17" ht="22" customHeight="1">
      <c r="A17" s="22" t="inlineStr">
        <is>
          <t>2. Relacionamento Pessoal</t>
        </is>
      </c>
      <c r="B17" s="68" t="n"/>
      <c r="C17" s="24" t="n">
        <v>11</v>
      </c>
      <c r="D17" s="24" t="n">
        <v>55</v>
      </c>
      <c r="E17" s="25">
        <f>AVERAGE('📋 Avaliação Pastoral (Geral)'!H6:H105)</f>
        <v/>
      </c>
      <c r="F17" s="26">
        <f>E17/5</f>
        <v/>
      </c>
      <c r="G17" s="27">
        <f>IF(E17&gt;=4.5,"Excelente (E)", IF(E17&gt;=3.5,"Muito Bom (MB)", IF(E17&gt;=2.5,"Bom (B)", IF(E17&gt;=1.5,"Regular (R)","Deficiente (D)"))))</f>
        <v/>
      </c>
      <c r="H17" s="69" t="n"/>
      <c r="I17" s="68" t="n"/>
    </row>
    <row r="18" ht="22" customHeight="1">
      <c r="A18" s="16" t="inlineStr">
        <is>
          <t>3. Família Pastoral</t>
        </is>
      </c>
      <c r="B18" s="68" t="n"/>
      <c r="C18" s="18" t="n">
        <v>5</v>
      </c>
      <c r="D18" s="18" t="n">
        <v>25</v>
      </c>
      <c r="E18" s="19">
        <f>AVERAGE('📋 Avaliação Pastoral (Geral)'!I6:I105)</f>
        <v/>
      </c>
      <c r="F18" s="20">
        <f>E18/5</f>
        <v/>
      </c>
      <c r="G18" s="21">
        <f>IF(E18&gt;=4.5,"Excelente (E)", IF(E18&gt;=3.5,"Muito Bom (MB)", IF(E18&gt;=2.5,"Bom (B)", IF(E18&gt;=1.5,"Regular (R)","Deficiente (D)"))))</f>
        <v/>
      </c>
      <c r="H18" s="69" t="n"/>
      <c r="I18" s="68" t="n"/>
    </row>
    <row r="19" ht="22" customHeight="1">
      <c r="A19" s="22" t="inlineStr">
        <is>
          <t>4. Sermões</t>
        </is>
      </c>
      <c r="B19" s="68" t="n"/>
      <c r="C19" s="24" t="n">
        <v>8</v>
      </c>
      <c r="D19" s="24" t="n">
        <v>40</v>
      </c>
      <c r="E19" s="25">
        <f>AVERAGE('📋 Avaliação Pastoral (Geral)'!J6:J105)</f>
        <v/>
      </c>
      <c r="F19" s="26">
        <f>E19/5</f>
        <v/>
      </c>
      <c r="G19" s="27">
        <f>IF(E19&gt;=4.5,"Excelente (E)", IF(E19&gt;=3.5,"Muito Bom (MB)", IF(E19&gt;=2.5,"Bom (B)", IF(E19&gt;=1.5,"Regular (R)","Deficiente (D)"))))</f>
        <v/>
      </c>
      <c r="H19" s="69" t="n"/>
      <c r="I19" s="68" t="n"/>
    </row>
    <row r="20" ht="22" customHeight="1">
      <c r="A20" s="16" t="inlineStr">
        <is>
          <t>5. Administração</t>
        </is>
      </c>
      <c r="B20" s="68" t="n"/>
      <c r="C20" s="18" t="n">
        <v>16</v>
      </c>
      <c r="D20" s="18" t="n">
        <v>80</v>
      </c>
      <c r="E20" s="19">
        <f>AVERAGE('📋 Avaliação Pastoral (Geral)'!K6:K105)</f>
        <v/>
      </c>
      <c r="F20" s="20">
        <f>E20/5</f>
        <v/>
      </c>
      <c r="G20" s="21">
        <f>IF(E20&gt;=4.5,"Excelente (E)", IF(E20&gt;=3.5,"Muito Bom (MB)", IF(E20&gt;=2.5,"Bom (B)", IF(E20&gt;=1.5,"Regular (R)","Deficiente (D)"))))</f>
        <v/>
      </c>
      <c r="H20" s="69" t="n"/>
      <c r="I20" s="68" t="n"/>
    </row>
    <row r="22" ht="25" customHeight="1">
      <c r="A22" s="7" t="inlineStr">
        <is>
          <t>RESUMO DA COBERTURA PASTORAL POR PROVÍNCIA</t>
        </is>
      </c>
    </row>
    <row r="23">
      <c r="A23" s="15" t="inlineStr">
        <is>
          <t>Província</t>
        </is>
      </c>
      <c r="B23" s="68" t="n"/>
      <c r="C23" s="15" t="inlineStr">
        <is>
          <t>Pastores Alocados</t>
        </is>
      </c>
      <c r="D23" s="15" t="inlineStr">
        <is>
          <t>% do Quadro</t>
        </is>
      </c>
      <c r="E23" s="15" t="inlineStr">
        <is>
          <t>Média de Desempenho</t>
        </is>
      </c>
      <c r="F23" s="69" t="n"/>
      <c r="G23" s="68" t="n"/>
      <c r="H23" s="15" t="inlineStr">
        <is>
          <t>Status</t>
        </is>
      </c>
      <c r="I23" s="68" t="n"/>
    </row>
    <row r="24" ht="22" customHeight="1">
      <c r="A24" s="16" t="inlineStr">
        <is>
          <t>Província do Huambo</t>
        </is>
      </c>
      <c r="B24" s="68" t="n"/>
      <c r="C24" s="18">
        <f>COUNTIF('📋 Avaliação Pastoral (Geral)'!D6:D105, "Huambo")</f>
        <v/>
      </c>
      <c r="D24" s="20">
        <f>C24/SUM($C$24:$C$28)</f>
        <v/>
      </c>
      <c r="E24" s="19">
        <f>AVERAGEIF('📋 Avaliação Pastoral (Geral)'!D6:D105, "Huambo", '📋 Avaliação Pastoral (Geral)'!M6:M105)</f>
        <v/>
      </c>
      <c r="F24" s="69" t="n"/>
      <c r="G24" s="68" t="n"/>
      <c r="H24" s="28" t="inlineStr">
        <is>
          <t>Ativo &amp; Mapeado</t>
        </is>
      </c>
      <c r="I24" s="68" t="n"/>
    </row>
    <row r="25" ht="22" customHeight="1">
      <c r="A25" s="22" t="inlineStr">
        <is>
          <t>Província do Bié</t>
        </is>
      </c>
      <c r="B25" s="68" t="n"/>
      <c r="C25" s="24">
        <f>COUNTIF('📋 Avaliação Pastoral (Geral)'!D6:D105, "Bié")</f>
        <v/>
      </c>
      <c r="D25" s="26">
        <f>C25/SUM($C$24:$C$28)</f>
        <v/>
      </c>
      <c r="E25" s="25">
        <f>AVERAGEIF('📋 Avaliação Pastoral (Geral)'!D6:D105, "Bié", '📋 Avaliação Pastoral (Geral)'!M6:M105)</f>
        <v/>
      </c>
      <c r="F25" s="69" t="n"/>
      <c r="G25" s="68" t="n"/>
      <c r="H25" s="29" t="inlineStr">
        <is>
          <t>Ativo &amp; Mapeado</t>
        </is>
      </c>
      <c r="I25" s="68" t="n"/>
    </row>
    <row r="26" ht="22" customHeight="1">
      <c r="A26" s="16" t="inlineStr">
        <is>
          <t>Província do Cubango</t>
        </is>
      </c>
      <c r="B26" s="68" t="n"/>
      <c r="C26" s="18">
        <f>COUNTIF('📋 Avaliação Pastoral (Geral)'!D6:D105, "Cubango")</f>
        <v/>
      </c>
      <c r="D26" s="20">
        <f>C26/SUM($C$24:$C$28)</f>
        <v/>
      </c>
      <c r="E26" s="19">
        <f>AVERAGEIF('📋 Avaliação Pastoral (Geral)'!D6:D105, "Cubango", '📋 Avaliação Pastoral (Geral)'!M6:M105)</f>
        <v/>
      </c>
      <c r="F26" s="69" t="n"/>
      <c r="G26" s="68" t="n"/>
      <c r="H26" s="28" t="inlineStr">
        <is>
          <t>Ativo &amp; Mapeado</t>
        </is>
      </c>
      <c r="I26" s="68" t="n"/>
    </row>
    <row r="27" ht="22" customHeight="1">
      <c r="A27" s="22" t="inlineStr">
        <is>
          <t>Província do Quando</t>
        </is>
      </c>
      <c r="B27" s="68" t="n"/>
      <c r="C27" s="24">
        <f>COUNTIF('📋 Avaliação Pastoral (Geral)'!D6:D105, "Quando")</f>
        <v/>
      </c>
      <c r="D27" s="26">
        <f>C27/SUM($C$24:$C$28)</f>
        <v/>
      </c>
      <c r="E27" s="25">
        <f>AVERAGEIF('📋 Avaliação Pastoral (Geral)'!D6:D105, "Quando", '📋 Avaliação Pastoral (Geral)'!M6:M105)</f>
        <v/>
      </c>
      <c r="F27" s="69" t="n"/>
      <c r="G27" s="68" t="n"/>
      <c r="H27" s="29" t="inlineStr">
        <is>
          <t>Ativo &amp; Mapeado</t>
        </is>
      </c>
      <c r="I27" s="68" t="n"/>
    </row>
    <row r="28" ht="22" customHeight="1">
      <c r="A28" s="16" t="inlineStr">
        <is>
          <t>Outras Regiões / Missões</t>
        </is>
      </c>
      <c r="B28" s="68" t="n"/>
      <c r="C28" s="18">
        <f>COUNTIF('📋 Avaliação Pastoral (Geral)'!D6:D105, "Benguela") + COUNTIF('📋 Avaliação Pastoral (Geral)'!D6:D105, "Huíla")</f>
        <v/>
      </c>
      <c r="D28" s="20">
        <f>C28/SUM($C$24:$C$28)</f>
        <v/>
      </c>
      <c r="E28" s="19">
        <f>AVERAGEIF('📋 Avaliação Pastoral (Geral)'!D6:D105, "Outras Regiões / Missões", '📋 Avaliação Pastoral (Geral)'!M6:M105)</f>
        <v/>
      </c>
      <c r="F28" s="69" t="n"/>
      <c r="G28" s="68" t="n"/>
      <c r="H28" s="28" t="inlineStr">
        <is>
          <t>Ativo &amp; Mapeado</t>
        </is>
      </c>
      <c r="I28" s="68" t="n"/>
    </row>
    <row r="29" ht="24" customHeight="1">
      <c r="A29" s="30" t="inlineStr">
        <is>
          <t>TOTAL GERAL</t>
        </is>
      </c>
      <c r="B29" s="68" t="n"/>
      <c r="C29" s="32">
        <f>SUM(C24:C28)</f>
        <v/>
      </c>
      <c r="D29" s="33">
        <f>SUM(D24:D28)</f>
        <v/>
      </c>
      <c r="E29" s="34">
        <f>AVERAGE(E24:E28)</f>
        <v/>
      </c>
      <c r="F29" s="69" t="n"/>
      <c r="G29" s="68" t="n"/>
      <c r="H29" s="32" t="inlineStr">
        <is>
          <t>100% Concluído</t>
        </is>
      </c>
      <c r="I29" s="68" t="n"/>
    </row>
    <row r="31" ht="22" customHeight="1">
      <c r="A31" s="35" t="inlineStr">
        <is>
          <t>MCASD 2026 PREMIUM EDITION | SISTEMATIZADO E DESENVOLVIDO POR VALENTINO CANGUELE</t>
        </is>
      </c>
    </row>
  </sheetData>
  <mergeCells count="64">
    <mergeCell ref="F11:G11"/>
    <mergeCell ref="A24:B24"/>
    <mergeCell ref="C6:D6"/>
    <mergeCell ref="A15:B15"/>
    <mergeCell ref="E28:G28"/>
    <mergeCell ref="G6:I6"/>
    <mergeCell ref="F10:G10"/>
    <mergeCell ref="G19:I19"/>
    <mergeCell ref="H10:I10"/>
    <mergeCell ref="A11:B11"/>
    <mergeCell ref="H29:I29"/>
    <mergeCell ref="C5:D5"/>
    <mergeCell ref="C9:E9"/>
    <mergeCell ref="E5:F5"/>
    <mergeCell ref="G18:I18"/>
    <mergeCell ref="A3:I3"/>
    <mergeCell ref="C12:E12"/>
    <mergeCell ref="A6:B6"/>
    <mergeCell ref="H9:I9"/>
    <mergeCell ref="G15:I15"/>
    <mergeCell ref="H25:I25"/>
    <mergeCell ref="C11:E11"/>
    <mergeCell ref="A2:I2"/>
    <mergeCell ref="F12:G12"/>
    <mergeCell ref="A16:B16"/>
    <mergeCell ref="A25:B25"/>
    <mergeCell ref="G5:I5"/>
    <mergeCell ref="E27:G27"/>
    <mergeCell ref="A14:I14"/>
    <mergeCell ref="E26:G26"/>
    <mergeCell ref="A8:I8"/>
    <mergeCell ref="G20:I20"/>
    <mergeCell ref="A22:I22"/>
    <mergeCell ref="A18:B18"/>
    <mergeCell ref="A27:B27"/>
    <mergeCell ref="E25:G25"/>
    <mergeCell ref="A12:B12"/>
    <mergeCell ref="H11:I11"/>
    <mergeCell ref="G16:I16"/>
    <mergeCell ref="E6:F6"/>
    <mergeCell ref="A26:B26"/>
    <mergeCell ref="A5:B5"/>
    <mergeCell ref="A31:I31"/>
    <mergeCell ref="A17:B17"/>
    <mergeCell ref="A23:B23"/>
    <mergeCell ref="H28:I28"/>
    <mergeCell ref="F9:G9"/>
    <mergeCell ref="H27:I27"/>
    <mergeCell ref="A20:B20"/>
    <mergeCell ref="H12:I12"/>
    <mergeCell ref="E24:G24"/>
    <mergeCell ref="A29:B29"/>
    <mergeCell ref="A19:B19"/>
    <mergeCell ref="E23:G23"/>
    <mergeCell ref="H24:I24"/>
    <mergeCell ref="A10:B10"/>
    <mergeCell ref="A28:B28"/>
    <mergeCell ref="A1:I1"/>
    <mergeCell ref="H26:I26"/>
    <mergeCell ref="H23:I23"/>
    <mergeCell ref="G17:I17"/>
    <mergeCell ref="A9:B9"/>
    <mergeCell ref="E29:G29"/>
    <mergeCell ref="C10:E10"/>
  </mergeCells>
  <dataValidations count="1">
    <dataValidation sqref="C9" showDropDown="0" showInputMessage="0" showErrorMessage="0" allowBlank="0" type="list">
      <formula1>='📋 Avaliação Pastoral (Geral)'!$B$6:$B$105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8"/>
  <sheetViews>
    <sheetView showGridLines="1" workbookViewId="0">
      <pane ySplit="4" topLeftCell="A5" activePane="bottomLeft" state="frozen"/>
      <selection pane="bottomLeft" activeCell="A1" sqref="A1"/>
    </sheetView>
  </sheetViews>
  <sheetFormatPr baseColWidth="8" defaultRowHeight="15"/>
  <cols>
    <col width="8" customWidth="1" min="1" max="1"/>
    <col width="28" customWidth="1" min="2" max="2"/>
    <col width="24" customWidth="1" min="3" max="3"/>
    <col width="16" customWidth="1" min="4" max="4"/>
    <col width="24" customWidth="1" min="5" max="5"/>
    <col width="16" customWidth="1" min="6" max="6"/>
    <col width="18" customWidth="1" min="7" max="7"/>
    <col width="18" customWidth="1" min="8" max="8"/>
    <col width="18" customWidth="1" min="9" max="9"/>
    <col width="18" customWidth="1" min="10" max="10"/>
    <col width="18" customWidth="1" min="11" max="11"/>
    <col width="18" customWidth="1" min="12" max="12"/>
    <col width="16" customWidth="1" min="13" max="13"/>
    <col width="20" customWidth="1" min="14" max="14"/>
    <col width="14" customWidth="1" min="15" max="15"/>
  </cols>
  <sheetData>
    <row r="1" ht="36" customHeight="1">
      <c r="A1" s="1" t="inlineStr">
        <is>
          <t>MATRIZ CONSOLIDADA DE AVALIAÇÃO PASTORAL - MCASD 2026</t>
        </is>
      </c>
    </row>
    <row r="2" ht="22" customHeight="1">
      <c r="A2" s="2" t="inlineStr">
        <is>
          <t>Sistema Premium Desenvolvido por Valentino Canguele | Escala: 1=Deficiente (D) | 2=Regular (R) | 3=Bom (B) | 4=Muito Bom (MB) | 5=Excelente (E)</t>
        </is>
      </c>
    </row>
    <row r="4" ht="34" customHeight="1">
      <c r="A4" s="36" t="inlineStr">
        <is>
          <t>Nº</t>
        </is>
      </c>
      <c r="B4" s="36" t="inlineStr">
        <is>
          <t>Nome do Pastor</t>
        </is>
      </c>
      <c r="C4" s="36" t="inlineStr">
        <is>
          <t>Distrito / Função</t>
        </is>
      </c>
      <c r="D4" s="36" t="inlineStr">
        <is>
          <t>Província</t>
        </is>
      </c>
      <c r="E4" s="36" t="inlineStr">
        <is>
          <t>Licença / Cargo</t>
        </is>
      </c>
      <c r="F4" s="36" t="inlineStr">
        <is>
          <t>Contacto</t>
        </is>
      </c>
      <c r="G4" s="36" t="inlineStr">
        <is>
          <t>Assist. Pastoral
(11 Itens)</t>
        </is>
      </c>
      <c r="H4" s="36" t="inlineStr">
        <is>
          <t>Rel. Pessoal
(11 Itens)</t>
        </is>
      </c>
      <c r="I4" s="36" t="inlineStr">
        <is>
          <t>Fam. Pastoral
(5 Itens)</t>
        </is>
      </c>
      <c r="J4" s="36" t="inlineStr">
        <is>
          <t>Sermões
(8 Itens)</t>
        </is>
      </c>
      <c r="K4" s="36" t="inlineStr">
        <is>
          <t>Administração
(16 Itens)</t>
        </is>
      </c>
      <c r="L4" s="36" t="inlineStr">
        <is>
          <t>Pontuação Total
(Máx 255)</t>
        </is>
      </c>
      <c r="M4" s="36" t="inlineStr">
        <is>
          <t>Média Geral
(1.00 - 5.00)</t>
        </is>
      </c>
      <c r="N4" s="36" t="inlineStr">
        <is>
          <t>Classificação Final</t>
        </is>
      </c>
      <c r="O4" s="36" t="inlineStr">
        <is>
          <t>Status</t>
        </is>
      </c>
    </row>
    <row r="6" ht="20" customHeight="1">
      <c r="A6" s="18" t="n">
        <v>1</v>
      </c>
      <c r="B6" s="37" t="inlineStr">
        <is>
          <t>Pr. Enoque Paulino</t>
        </is>
      </c>
      <c r="C6" s="37" t="inlineStr">
        <is>
          <t>Presidente - Missão</t>
        </is>
      </c>
      <c r="D6" s="18" t="inlineStr">
        <is>
          <t>Huambo</t>
        </is>
      </c>
      <c r="E6" s="37" t="inlineStr">
        <is>
          <t>Presidente</t>
        </is>
      </c>
      <c r="F6" s="18" t="inlineStr">
        <is>
          <t>924242887</t>
        </is>
      </c>
      <c r="G6" s="38" t="n">
        <v>4.85</v>
      </c>
      <c r="H6" s="38" t="n">
        <v>4.9</v>
      </c>
      <c r="I6" s="38" t="n">
        <v>4.8</v>
      </c>
      <c r="J6" s="38" t="n">
        <v>4.9</v>
      </c>
      <c r="K6" s="38" t="n">
        <v>4.95</v>
      </c>
      <c r="L6" s="21">
        <f>ROUND((G6*11 + H6*11 + I6*5 + J6*8 + K6*16), 0)</f>
        <v/>
      </c>
      <c r="M6" s="19">
        <f>ROUND(AVERAGE(G6:K6), 2)</f>
        <v/>
      </c>
      <c r="N6" s="11">
        <f>IF(M6&gt;=4.5,"Excelente (E)", IF(M6&gt;=3.5,"Muito Bom (MB)", IF(M6&gt;=2.5,"Bom (B)", IF(M6&gt;=1.5,"Regular (R)","Deficiente (D)"))))</f>
        <v/>
      </c>
      <c r="O6" s="28" t="inlineStr">
        <is>
          <t>Concluído</t>
        </is>
      </c>
    </row>
    <row r="7" ht="20" customHeight="1">
      <c r="A7" s="24" t="n">
        <v>2</v>
      </c>
      <c r="B7" s="39" t="inlineStr">
        <is>
          <t>Pr. Florindo Chiconjo</t>
        </is>
      </c>
      <c r="C7" s="39" t="inlineStr">
        <is>
          <t>Secretário</t>
        </is>
      </c>
      <c r="D7" s="24" t="inlineStr">
        <is>
          <t>Huambo</t>
        </is>
      </c>
      <c r="E7" s="39" t="inlineStr">
        <is>
          <t>Secretário Executivo</t>
        </is>
      </c>
      <c r="F7" s="24" t="inlineStr">
        <is>
          <t>924074666</t>
        </is>
      </c>
      <c r="G7" s="40" t="n">
        <v>4.8</v>
      </c>
      <c r="H7" s="40" t="n">
        <v>4.85</v>
      </c>
      <c r="I7" s="40" t="n">
        <v>4.75</v>
      </c>
      <c r="J7" s="40" t="n">
        <v>4.8</v>
      </c>
      <c r="K7" s="40" t="n">
        <v>4.9</v>
      </c>
      <c r="L7" s="27">
        <f>ROUND((G7*11 + H7*11 + I7*5 + J7*8 + K7*16), 0)</f>
        <v/>
      </c>
      <c r="M7" s="25">
        <f>ROUND(AVERAGE(G7:K7), 2)</f>
        <v/>
      </c>
      <c r="N7" s="11">
        <f>IF(M7&gt;=4.5,"Excelente (E)", IF(M7&gt;=3.5,"Muito Bom (MB)", IF(M7&gt;=2.5,"Bom (B)", IF(M7&gt;=1.5,"Regular (R)","Deficiente (D)"))))</f>
        <v/>
      </c>
      <c r="O7" s="29" t="inlineStr">
        <is>
          <t>Concluído</t>
        </is>
      </c>
    </row>
    <row r="8" ht="20" customHeight="1">
      <c r="A8" s="18" t="n">
        <v>3</v>
      </c>
      <c r="B8" s="37" t="inlineStr">
        <is>
          <t>Anc Simão Avelino</t>
        </is>
      </c>
      <c r="C8" s="37" t="inlineStr">
        <is>
          <t>Tesoureiro</t>
        </is>
      </c>
      <c r="D8" s="18" t="inlineStr">
        <is>
          <t>Huambo</t>
        </is>
      </c>
      <c r="E8" s="37" t="inlineStr">
        <is>
          <t>Tesoureiro</t>
        </is>
      </c>
      <c r="F8" s="18" t="inlineStr">
        <is>
          <t>929744811</t>
        </is>
      </c>
      <c r="G8" s="38" t="n">
        <v>4.75</v>
      </c>
      <c r="H8" s="38" t="n">
        <v>4.8</v>
      </c>
      <c r="I8" s="38" t="n">
        <v>4.7</v>
      </c>
      <c r="J8" s="38" t="n">
        <v>4.6</v>
      </c>
      <c r="K8" s="38" t="n">
        <v>4.85</v>
      </c>
      <c r="L8" s="21">
        <f>ROUND((G8*11 + H8*11 + I8*5 + J8*8 + K8*16), 0)</f>
        <v/>
      </c>
      <c r="M8" s="19">
        <f>ROUND(AVERAGE(G8:K8), 2)</f>
        <v/>
      </c>
      <c r="N8" s="11">
        <f>IF(M8&gt;=4.5,"Excelente (E)", IF(M8&gt;=3.5,"Muito Bom (MB)", IF(M8&gt;=2.5,"Bom (B)", IF(M8&gt;=1.5,"Regular (R)","Deficiente (D)"))))</f>
        <v/>
      </c>
      <c r="O8" s="28" t="inlineStr">
        <is>
          <t>Concluído</t>
        </is>
      </c>
    </row>
    <row r="9" ht="20" customHeight="1">
      <c r="A9" s="24" t="n">
        <v>4</v>
      </c>
      <c r="B9" s="39" t="inlineStr">
        <is>
          <t>Pr. Lauriano Salote</t>
        </is>
      </c>
      <c r="C9" s="39" t="inlineStr">
        <is>
          <t>Andulo</t>
        </is>
      </c>
      <c r="D9" s="24" t="inlineStr">
        <is>
          <t>Bié</t>
        </is>
      </c>
      <c r="E9" s="39" t="inlineStr">
        <is>
          <t>Pastor Distrital</t>
        </is>
      </c>
      <c r="F9" s="24" t="inlineStr">
        <is>
          <t>923380953</t>
        </is>
      </c>
      <c r="G9" s="40" t="n">
        <v>4.5</v>
      </c>
      <c r="H9" s="40" t="n">
        <v>4.6</v>
      </c>
      <c r="I9" s="40" t="n">
        <v>4.4</v>
      </c>
      <c r="J9" s="40" t="n">
        <v>4.7</v>
      </c>
      <c r="K9" s="40" t="n">
        <v>4.5</v>
      </c>
      <c r="L9" s="27">
        <f>ROUND((G9*11 + H9*11 + I9*5 + J9*8 + K9*16), 0)</f>
        <v/>
      </c>
      <c r="M9" s="25">
        <f>ROUND(AVERAGE(G9:K9), 2)</f>
        <v/>
      </c>
      <c r="N9" s="11">
        <f>IF(M9&gt;=4.5,"Excelente (E)", IF(M9&gt;=3.5,"Muito Bom (MB)", IF(M9&gt;=2.5,"Bom (B)", IF(M9&gt;=1.5,"Regular (R)","Deficiente (D)"))))</f>
        <v/>
      </c>
      <c r="O9" s="29" t="inlineStr">
        <is>
          <t>Concluído</t>
        </is>
      </c>
    </row>
    <row r="10" ht="20" customHeight="1">
      <c r="A10" s="18" t="n">
        <v>5</v>
      </c>
      <c r="B10" s="37" t="inlineStr">
        <is>
          <t>Pr. Craveiro Idalino</t>
        </is>
      </c>
      <c r="C10" s="37" t="inlineStr">
        <is>
          <t>Alto Hama</t>
        </is>
      </c>
      <c r="D10" s="18" t="inlineStr">
        <is>
          <t>Huambo</t>
        </is>
      </c>
      <c r="E10" s="37" t="inlineStr">
        <is>
          <t>Pastor Distrital</t>
        </is>
      </c>
      <c r="F10" s="18" t="inlineStr">
        <is>
          <t>925694840</t>
        </is>
      </c>
      <c r="G10" s="38" t="n">
        <v>4.4</v>
      </c>
      <c r="H10" s="38" t="n">
        <v>4.5</v>
      </c>
      <c r="I10" s="38" t="n">
        <v>4.3</v>
      </c>
      <c r="J10" s="38" t="n">
        <v>4.6</v>
      </c>
      <c r="K10" s="38" t="n">
        <v>4.4</v>
      </c>
      <c r="L10" s="21">
        <f>ROUND((G10*11 + H10*11 + I10*5 + J10*8 + K10*16), 0)</f>
        <v/>
      </c>
      <c r="M10" s="19">
        <f>ROUND(AVERAGE(G10:K10), 2)</f>
        <v/>
      </c>
      <c r="N10" s="11">
        <f>IF(M10&gt;=4.5,"Excelente (E)", IF(M10&gt;=3.5,"Muito Bom (MB)", IF(M10&gt;=2.5,"Bom (B)", IF(M10&gt;=1.5,"Regular (R)","Deficiente (D)"))))</f>
        <v/>
      </c>
      <c r="O10" s="28" t="inlineStr">
        <is>
          <t>Concluído</t>
        </is>
      </c>
    </row>
    <row r="11" ht="20" customHeight="1">
      <c r="A11" s="24" t="n">
        <v>6</v>
      </c>
      <c r="B11" s="39" t="inlineStr">
        <is>
          <t>Pr. Aurélio de Jesus Jamba</t>
        </is>
      </c>
      <c r="C11" s="39" t="inlineStr">
        <is>
          <t>Auditoria MCA</t>
        </is>
      </c>
      <c r="D11" s="24" t="inlineStr">
        <is>
          <t>Huambo</t>
        </is>
      </c>
      <c r="E11" s="39" t="inlineStr">
        <is>
          <t>Auditor / Pastor</t>
        </is>
      </c>
      <c r="F11" s="24" t="inlineStr">
        <is>
          <t>928146289</t>
        </is>
      </c>
      <c r="G11" s="40" t="n">
        <v>4.7</v>
      </c>
      <c r="H11" s="40" t="n">
        <v>4.75</v>
      </c>
      <c r="I11" s="40" t="n">
        <v>4.65</v>
      </c>
      <c r="J11" s="40" t="n">
        <v>4.5</v>
      </c>
      <c r="K11" s="40" t="n">
        <v>4.8</v>
      </c>
      <c r="L11" s="27">
        <f>ROUND((G11*11 + H11*11 + I11*5 + J11*8 + K11*16), 0)</f>
        <v/>
      </c>
      <c r="M11" s="25">
        <f>ROUND(AVERAGE(G11:K11), 2)</f>
        <v/>
      </c>
      <c r="N11" s="11">
        <f>IF(M11&gt;=4.5,"Excelente (E)", IF(M11&gt;=3.5,"Muito Bom (MB)", IF(M11&gt;=2.5,"Bom (B)", IF(M11&gt;=1.5,"Regular (R)","Deficiente (D)"))))</f>
        <v/>
      </c>
      <c r="O11" s="29" t="inlineStr">
        <is>
          <t>Concluído</t>
        </is>
      </c>
    </row>
    <row r="12" ht="20" customHeight="1">
      <c r="A12" s="18" t="n">
        <v>7</v>
      </c>
      <c r="B12" s="37" t="inlineStr">
        <is>
          <t>Pr. Emilio Cupua</t>
        </is>
      </c>
      <c r="C12" s="37" t="inlineStr">
        <is>
          <t>Bailundo-Norte</t>
        </is>
      </c>
      <c r="D12" s="18" t="inlineStr">
        <is>
          <t>Huambo</t>
        </is>
      </c>
      <c r="E12" s="37" t="inlineStr">
        <is>
          <t>Pastor Distrital</t>
        </is>
      </c>
      <c r="F12" s="18" t="inlineStr">
        <is>
          <t>933226066</t>
        </is>
      </c>
      <c r="G12" s="38" t="n">
        <v>4.3</v>
      </c>
      <c r="H12" s="38" t="n">
        <v>4.4</v>
      </c>
      <c r="I12" s="38" t="n">
        <v>4.2</v>
      </c>
      <c r="J12" s="38" t="n">
        <v>4.5</v>
      </c>
      <c r="K12" s="38" t="n">
        <v>4.3</v>
      </c>
      <c r="L12" s="21">
        <f>ROUND((G12*11 + H12*11 + I12*5 + J12*8 + K12*16), 0)</f>
        <v/>
      </c>
      <c r="M12" s="19">
        <f>ROUND(AVERAGE(G12:K12), 2)</f>
        <v/>
      </c>
      <c r="N12" s="11">
        <f>IF(M12&gt;=4.5,"Excelente (E)", IF(M12&gt;=3.5,"Muito Bom (MB)", IF(M12&gt;=2.5,"Bom (B)", IF(M12&gt;=1.5,"Regular (R)","Deficiente (D)"))))</f>
        <v/>
      </c>
      <c r="O12" s="28" t="inlineStr">
        <is>
          <t>Concluído</t>
        </is>
      </c>
    </row>
    <row r="13" ht="20" customHeight="1">
      <c r="A13" s="24" t="n">
        <v>8</v>
      </c>
      <c r="B13" s="39" t="inlineStr">
        <is>
          <t>Pr. Vasco Aurélio Munga</t>
        </is>
      </c>
      <c r="C13" s="39" t="inlineStr">
        <is>
          <t>Boa Nova</t>
        </is>
      </c>
      <c r="D13" s="24" t="inlineStr">
        <is>
          <t>Huambo</t>
        </is>
      </c>
      <c r="E13" s="39" t="inlineStr">
        <is>
          <t>Pastor Distrital</t>
        </is>
      </c>
      <c r="F13" s="24" t="inlineStr">
        <is>
          <t>923737175</t>
        </is>
      </c>
      <c r="G13" s="40" t="n">
        <v>4.6</v>
      </c>
      <c r="H13" s="40" t="n">
        <v>4.55</v>
      </c>
      <c r="I13" s="40" t="n">
        <v>4.5</v>
      </c>
      <c r="J13" s="40" t="n">
        <v>4.65</v>
      </c>
      <c r="K13" s="40" t="n">
        <v>4.6</v>
      </c>
      <c r="L13" s="27">
        <f>ROUND((G13*11 + H13*11 + I13*5 + J13*8 + K13*16), 0)</f>
        <v/>
      </c>
      <c r="M13" s="25">
        <f>ROUND(AVERAGE(G13:K13), 2)</f>
        <v/>
      </c>
      <c r="N13" s="11">
        <f>IF(M13&gt;=4.5,"Excelente (E)", IF(M13&gt;=3.5,"Muito Bom (MB)", IF(M13&gt;=2.5,"Bom (B)", IF(M13&gt;=1.5,"Regular (R)","Deficiente (D)"))))</f>
        <v/>
      </c>
      <c r="O13" s="29" t="inlineStr">
        <is>
          <t>Concluído</t>
        </is>
      </c>
    </row>
    <row r="14" ht="20" customHeight="1">
      <c r="A14" s="18" t="n">
        <v>9</v>
      </c>
      <c r="B14" s="37" t="inlineStr">
        <is>
          <t>Pr. João Sangundu</t>
        </is>
      </c>
      <c r="C14" s="37" t="inlineStr">
        <is>
          <t>Bongo</t>
        </is>
      </c>
      <c r="D14" s="18" t="inlineStr">
        <is>
          <t>Huambo</t>
        </is>
      </c>
      <c r="E14" s="37" t="inlineStr">
        <is>
          <t>Pastor Distrital</t>
        </is>
      </c>
      <c r="F14" s="18" t="inlineStr">
        <is>
          <t>945463839</t>
        </is>
      </c>
      <c r="G14" s="38" t="n">
        <v>4.5</v>
      </c>
      <c r="H14" s="38" t="n">
        <v>4.5</v>
      </c>
      <c r="I14" s="38" t="n">
        <v>4.4</v>
      </c>
      <c r="J14" s="38" t="n">
        <v>4.6</v>
      </c>
      <c r="K14" s="38" t="n">
        <v>4.5</v>
      </c>
      <c r="L14" s="21">
        <f>ROUND((G14*11 + H14*11 + I14*5 + J14*8 + K14*16), 0)</f>
        <v/>
      </c>
      <c r="M14" s="19">
        <f>ROUND(AVERAGE(G14:K14), 2)</f>
        <v/>
      </c>
      <c r="N14" s="11">
        <f>IF(M14&gt;=4.5,"Excelente (E)", IF(M14&gt;=3.5,"Muito Bom (MB)", IF(M14&gt;=2.5,"Bom (B)", IF(M14&gt;=1.5,"Regular (R)","Deficiente (D)"))))</f>
        <v/>
      </c>
      <c r="O14" s="28" t="inlineStr">
        <is>
          <t>Concluído</t>
        </is>
      </c>
    </row>
    <row r="15" ht="20" customHeight="1">
      <c r="A15" s="24" t="n">
        <v>10</v>
      </c>
      <c r="B15" s="39" t="inlineStr">
        <is>
          <t>Pr. Evaristo P. Mendes</t>
        </is>
      </c>
      <c r="C15" s="39" t="inlineStr">
        <is>
          <t>Cacilhas / Calomanda</t>
        </is>
      </c>
      <c r="D15" s="24" t="inlineStr">
        <is>
          <t>Huambo</t>
        </is>
      </c>
      <c r="E15" s="39" t="inlineStr">
        <is>
          <t>Pastor Distrital</t>
        </is>
      </c>
      <c r="F15" s="24" t="inlineStr">
        <is>
          <t>923101252</t>
        </is>
      </c>
      <c r="G15" s="40" t="n">
        <v>4.45</v>
      </c>
      <c r="H15" s="40" t="n">
        <v>4.5</v>
      </c>
      <c r="I15" s="40" t="n">
        <v>4.35</v>
      </c>
      <c r="J15" s="40" t="n">
        <v>4.55</v>
      </c>
      <c r="K15" s="40" t="n">
        <v>4.4</v>
      </c>
      <c r="L15" s="27">
        <f>ROUND((G15*11 + H15*11 + I15*5 + J15*8 + K15*16), 0)</f>
        <v/>
      </c>
      <c r="M15" s="25">
        <f>ROUND(AVERAGE(G15:K15), 2)</f>
        <v/>
      </c>
      <c r="N15" s="11">
        <f>IF(M15&gt;=4.5,"Excelente (E)", IF(M15&gt;=3.5,"Muito Bom (MB)", IF(M15&gt;=2.5,"Bom (B)", IF(M15&gt;=1.5,"Regular (R)","Deficiente (D)"))))</f>
        <v/>
      </c>
      <c r="O15" s="29" t="inlineStr">
        <is>
          <t>Concluído</t>
        </is>
      </c>
    </row>
    <row r="16" ht="20" customHeight="1">
      <c r="A16" s="18" t="n">
        <v>11</v>
      </c>
      <c r="B16" s="37" t="inlineStr">
        <is>
          <t>Pr. José Silva Eurico</t>
        </is>
      </c>
      <c r="C16" s="37" t="inlineStr">
        <is>
          <t>Calai</t>
        </is>
      </c>
      <c r="D16" s="18" t="inlineStr">
        <is>
          <t>Cubango</t>
        </is>
      </c>
      <c r="E16" s="37" t="inlineStr">
        <is>
          <t>Pastor Distrital</t>
        </is>
      </c>
      <c r="F16" s="18" t="inlineStr">
        <is>
          <t>923720195</t>
        </is>
      </c>
      <c r="G16" s="38" t="n">
        <v>5</v>
      </c>
      <c r="H16" s="38" t="n">
        <v>5</v>
      </c>
      <c r="I16" s="38" t="n">
        <v>2</v>
      </c>
      <c r="J16" s="38" t="n">
        <v>5</v>
      </c>
      <c r="K16" s="38" t="n">
        <v>5</v>
      </c>
      <c r="L16" s="21">
        <f>ROUND((G16*11 + H16*11 + I16*5 + J16*8 + K16*16), 0)</f>
        <v/>
      </c>
      <c r="M16" s="19">
        <f>ROUND(AVERAGE(G16:K16), 2)</f>
        <v/>
      </c>
      <c r="N16" s="11">
        <f>IF(M16&gt;=4.5,"Excelente (E)", IF(M16&gt;=3.5,"Muito Bom (MB)", IF(M16&gt;=2.5,"Bom (B)", IF(M16&gt;=1.5,"Regular (R)","Deficiente (D)"))))</f>
        <v/>
      </c>
      <c r="O16" s="28" t="inlineStr">
        <is>
          <t>Concluído</t>
        </is>
      </c>
    </row>
    <row r="17" ht="20" customHeight="1">
      <c r="A17" s="24" t="n">
        <v>12</v>
      </c>
      <c r="B17" s="39" t="inlineStr">
        <is>
          <t>Pr. Teles Justino de Oliveira</t>
        </is>
      </c>
      <c r="C17" s="39" t="inlineStr">
        <is>
          <t>Calenga</t>
        </is>
      </c>
      <c r="D17" s="24" t="inlineStr">
        <is>
          <t>Huambo</t>
        </is>
      </c>
      <c r="E17" s="39" t="inlineStr">
        <is>
          <t>Pastor Distrital</t>
        </is>
      </c>
      <c r="F17" s="24" t="inlineStr">
        <is>
          <t>924712599</t>
        </is>
      </c>
      <c r="G17" s="40" t="n">
        <v>4.55</v>
      </c>
      <c r="H17" s="40" t="n">
        <v>4.6</v>
      </c>
      <c r="I17" s="40" t="n">
        <v>4.5</v>
      </c>
      <c r="J17" s="40" t="n">
        <v>4.65</v>
      </c>
      <c r="K17" s="40" t="n">
        <v>4.5</v>
      </c>
      <c r="L17" s="27">
        <f>ROUND((G17*11 + H17*11 + I17*5 + J17*8 + K17*16), 0)</f>
        <v/>
      </c>
      <c r="M17" s="25">
        <f>ROUND(AVERAGE(G17:K17), 2)</f>
        <v/>
      </c>
      <c r="N17" s="11">
        <f>IF(M17&gt;=4.5,"Excelente (E)", IF(M17&gt;=3.5,"Muito Bom (MB)", IF(M17&gt;=2.5,"Bom (B)", IF(M17&gt;=1.5,"Regular (R)","Deficiente (D)"))))</f>
        <v/>
      </c>
      <c r="O17" s="29" t="inlineStr">
        <is>
          <t>Concluído</t>
        </is>
      </c>
    </row>
    <row r="18" ht="20" customHeight="1">
      <c r="A18" s="18" t="n">
        <v>13</v>
      </c>
      <c r="B18" s="37" t="inlineStr">
        <is>
          <t>Pr. Alfredo Casselo</t>
        </is>
      </c>
      <c r="C18" s="37" t="inlineStr">
        <is>
          <t>Calenga e Lepi</t>
        </is>
      </c>
      <c r="D18" s="18" t="inlineStr">
        <is>
          <t>Huambo</t>
        </is>
      </c>
      <c r="E18" s="37" t="inlineStr">
        <is>
          <t>Pastor Distrital</t>
        </is>
      </c>
      <c r="F18" s="18" t="inlineStr">
        <is>
          <t>934151263</t>
        </is>
      </c>
      <c r="G18" s="38" t="n">
        <v>4.35</v>
      </c>
      <c r="H18" s="38" t="n">
        <v>4.4</v>
      </c>
      <c r="I18" s="38" t="n">
        <v>4.3</v>
      </c>
      <c r="J18" s="38" t="n">
        <v>4.45</v>
      </c>
      <c r="K18" s="38" t="n">
        <v>4.3</v>
      </c>
      <c r="L18" s="21">
        <f>ROUND((G18*11 + H18*11 + I18*5 + J18*8 + K18*16), 0)</f>
        <v/>
      </c>
      <c r="M18" s="19">
        <f>ROUND(AVERAGE(G18:K18), 2)</f>
        <v/>
      </c>
      <c r="N18" s="11">
        <f>IF(M18&gt;=4.5,"Excelente (E)", IF(M18&gt;=3.5,"Muito Bom (MB)", IF(M18&gt;=2.5,"Bom (B)", IF(M18&gt;=1.5,"Regular (R)","Deficiente (D)"))))</f>
        <v/>
      </c>
      <c r="O18" s="28" t="inlineStr">
        <is>
          <t>Concluído</t>
        </is>
      </c>
    </row>
    <row r="19" ht="20" customHeight="1">
      <c r="A19" s="24" t="n">
        <v>14</v>
      </c>
      <c r="B19" s="39" t="inlineStr">
        <is>
          <t>Pr. Tomás Tunguta</t>
        </is>
      </c>
      <c r="C19" s="39" t="inlineStr">
        <is>
          <t>Calussinga</t>
        </is>
      </c>
      <c r="D19" s="24" t="inlineStr">
        <is>
          <t>Bié</t>
        </is>
      </c>
      <c r="E19" s="39" t="inlineStr">
        <is>
          <t>Pastor Distrital</t>
        </is>
      </c>
      <c r="F19" s="24" t="inlineStr">
        <is>
          <t>946099735</t>
        </is>
      </c>
      <c r="G19" s="40" t="n">
        <v>4.4</v>
      </c>
      <c r="H19" s="40" t="n">
        <v>4.45</v>
      </c>
      <c r="I19" s="40" t="n">
        <v>4.35</v>
      </c>
      <c r="J19" s="40" t="n">
        <v>4.5</v>
      </c>
      <c r="K19" s="40" t="n">
        <v>4.4</v>
      </c>
      <c r="L19" s="27">
        <f>ROUND((G19*11 + H19*11 + I19*5 + J19*8 + K19*16), 0)</f>
        <v/>
      </c>
      <c r="M19" s="25">
        <f>ROUND(AVERAGE(G19:K19), 2)</f>
        <v/>
      </c>
      <c r="N19" s="11">
        <f>IF(M19&gt;=4.5,"Excelente (E)", IF(M19&gt;=3.5,"Muito Bom (MB)", IF(M19&gt;=2.5,"Bom (B)", IF(M19&gt;=1.5,"Regular (R)","Deficiente (D)"))))</f>
        <v/>
      </c>
      <c r="O19" s="29" t="inlineStr">
        <is>
          <t>Concluído</t>
        </is>
      </c>
    </row>
    <row r="20" ht="20" customHeight="1">
      <c r="A20" s="18" t="n">
        <v>15</v>
      </c>
      <c r="B20" s="37" t="inlineStr">
        <is>
          <t>Pr. Agostinho Chalale</t>
        </is>
      </c>
      <c r="C20" s="37" t="inlineStr">
        <is>
          <t>Cambiote</t>
        </is>
      </c>
      <c r="D20" s="18" t="inlineStr">
        <is>
          <t>Huambo</t>
        </is>
      </c>
      <c r="E20" s="37" t="inlineStr">
        <is>
          <t>Pastor Distrital</t>
        </is>
      </c>
      <c r="F20" s="18" t="inlineStr">
        <is>
          <t>927047570</t>
        </is>
      </c>
      <c r="G20" s="38" t="n">
        <v>4.65</v>
      </c>
      <c r="H20" s="38" t="n">
        <v>4.7</v>
      </c>
      <c r="I20" s="38" t="n">
        <v>4.6</v>
      </c>
      <c r="J20" s="38" t="n">
        <v>4.75</v>
      </c>
      <c r="K20" s="38" t="n">
        <v>4.6</v>
      </c>
      <c r="L20" s="21">
        <f>ROUND((G20*11 + H20*11 + I20*5 + J20*8 + K20*16), 0)</f>
        <v/>
      </c>
      <c r="M20" s="19">
        <f>ROUND(AVERAGE(G20:K20), 2)</f>
        <v/>
      </c>
      <c r="N20" s="11">
        <f>IF(M20&gt;=4.5,"Excelente (E)", IF(M20&gt;=3.5,"Muito Bom (MB)", IF(M20&gt;=2.5,"Bom (B)", IF(M20&gt;=1.5,"Regular (R)","Deficiente (D)"))))</f>
        <v/>
      </c>
      <c r="O20" s="28" t="inlineStr">
        <is>
          <t>Concluído</t>
        </is>
      </c>
    </row>
    <row r="21" ht="20" customHeight="1">
      <c r="A21" s="24" t="n">
        <v>16</v>
      </c>
      <c r="B21" s="39" t="inlineStr">
        <is>
          <t>Pr. Fernando de Castro</t>
        </is>
      </c>
      <c r="C21" s="39" t="inlineStr">
        <is>
          <t>Casseque</t>
        </is>
      </c>
      <c r="D21" s="24" t="inlineStr">
        <is>
          <t>Huambo</t>
        </is>
      </c>
      <c r="E21" s="39" t="inlineStr">
        <is>
          <t>Pastor Distrital</t>
        </is>
      </c>
      <c r="F21" s="24" t="inlineStr">
        <is>
          <t>923919378</t>
        </is>
      </c>
      <c r="G21" s="40" t="n">
        <v>4.5</v>
      </c>
      <c r="H21" s="40" t="n">
        <v>4.55</v>
      </c>
      <c r="I21" s="40" t="n">
        <v>4.45</v>
      </c>
      <c r="J21" s="40" t="n">
        <v>4.6</v>
      </c>
      <c r="K21" s="40" t="n">
        <v>4.5</v>
      </c>
      <c r="L21" s="27">
        <f>ROUND((G21*11 + H21*11 + I21*5 + J21*8 + K21*16), 0)</f>
        <v/>
      </c>
      <c r="M21" s="25">
        <f>ROUND(AVERAGE(G21:K21), 2)</f>
        <v/>
      </c>
      <c r="N21" s="11">
        <f>IF(M21&gt;=4.5,"Excelente (E)", IF(M21&gt;=3.5,"Muito Bom (MB)", IF(M21&gt;=2.5,"Bom (B)", IF(M21&gt;=1.5,"Regular (R)","Deficiente (D)"))))</f>
        <v/>
      </c>
      <c r="O21" s="29" t="inlineStr">
        <is>
          <t>Concluído</t>
        </is>
      </c>
    </row>
    <row r="22" ht="20" customHeight="1">
      <c r="A22" s="18" t="n">
        <v>17</v>
      </c>
      <c r="B22" s="37" t="inlineStr">
        <is>
          <t>Pr. Fernando Natal Pelé</t>
        </is>
      </c>
      <c r="C22" s="37" t="inlineStr">
        <is>
          <t>Catabola</t>
        </is>
      </c>
      <c r="D22" s="18" t="inlineStr">
        <is>
          <t>Bié</t>
        </is>
      </c>
      <c r="E22" s="37" t="inlineStr">
        <is>
          <t>Pastor Distrital</t>
        </is>
      </c>
      <c r="F22" s="18" t="inlineStr">
        <is>
          <t>931054719</t>
        </is>
      </c>
      <c r="G22" s="38" t="n">
        <v>4.3</v>
      </c>
      <c r="H22" s="38" t="n">
        <v>4.35</v>
      </c>
      <c r="I22" s="38" t="n">
        <v>4.25</v>
      </c>
      <c r="J22" s="38" t="n">
        <v>4.4</v>
      </c>
      <c r="K22" s="38" t="n">
        <v>4.3</v>
      </c>
      <c r="L22" s="21">
        <f>ROUND((G22*11 + H22*11 + I22*5 + J22*8 + K22*16), 0)</f>
        <v/>
      </c>
      <c r="M22" s="19">
        <f>ROUND(AVERAGE(G22:K22), 2)</f>
        <v/>
      </c>
      <c r="N22" s="11">
        <f>IF(M22&gt;=4.5,"Excelente (E)", IF(M22&gt;=3.5,"Muito Bom (MB)", IF(M22&gt;=2.5,"Bom (B)", IF(M22&gt;=1.5,"Regular (R)","Deficiente (D)"))))</f>
        <v/>
      </c>
      <c r="O22" s="28" t="inlineStr">
        <is>
          <t>Concluído</t>
        </is>
      </c>
    </row>
    <row r="23" ht="20" customHeight="1">
      <c r="A23" s="24" t="n">
        <v>18</v>
      </c>
      <c r="B23" s="39" t="inlineStr">
        <is>
          <t>Pr. Miguel Evaldine Praia</t>
        </is>
      </c>
      <c r="C23" s="39" t="inlineStr">
        <is>
          <t>Central-Bailundo</t>
        </is>
      </c>
      <c r="D23" s="24" t="inlineStr">
        <is>
          <t>Huambo</t>
        </is>
      </c>
      <c r="E23" s="39" t="inlineStr">
        <is>
          <t>Pastor Distrital</t>
        </is>
      </c>
      <c r="F23" s="24" t="inlineStr">
        <is>
          <t>923243564</t>
        </is>
      </c>
      <c r="G23" s="40" t="n">
        <v>4.6</v>
      </c>
      <c r="H23" s="40" t="n">
        <v>4.65</v>
      </c>
      <c r="I23" s="40" t="n">
        <v>4.55</v>
      </c>
      <c r="J23" s="40" t="n">
        <v>4.7</v>
      </c>
      <c r="K23" s="40" t="n">
        <v>4.6</v>
      </c>
      <c r="L23" s="27">
        <f>ROUND((G23*11 + H23*11 + I23*5 + J23*8 + K23*16), 0)</f>
        <v/>
      </c>
      <c r="M23" s="25">
        <f>ROUND(AVERAGE(G23:K23), 2)</f>
        <v/>
      </c>
      <c r="N23" s="11">
        <f>IF(M23&gt;=4.5,"Excelente (E)", IF(M23&gt;=3.5,"Muito Bom (MB)", IF(M23&gt;=2.5,"Bom (B)", IF(M23&gt;=1.5,"Regular (R)","Deficiente (D)"))))</f>
        <v/>
      </c>
      <c r="O23" s="29" t="inlineStr">
        <is>
          <t>Concluído</t>
        </is>
      </c>
    </row>
    <row r="24" ht="20" customHeight="1">
      <c r="A24" s="18" t="n">
        <v>19</v>
      </c>
      <c r="B24" s="37" t="inlineStr">
        <is>
          <t>Pr. Emílio Ernesto</t>
        </is>
      </c>
      <c r="C24" s="37" t="inlineStr">
        <is>
          <t>Catata</t>
        </is>
      </c>
      <c r="D24" s="18" t="inlineStr">
        <is>
          <t>Huambo</t>
        </is>
      </c>
      <c r="E24" s="37" t="inlineStr">
        <is>
          <t>Pastor Distrital</t>
        </is>
      </c>
      <c r="F24" s="18" t="inlineStr">
        <is>
          <t>941732183</t>
        </is>
      </c>
      <c r="G24" s="38" t="n">
        <v>4.25</v>
      </c>
      <c r="H24" s="38" t="n">
        <v>4.3</v>
      </c>
      <c r="I24" s="38" t="n">
        <v>4.2</v>
      </c>
      <c r="J24" s="38" t="n">
        <v>4.35</v>
      </c>
      <c r="K24" s="38" t="n">
        <v>4.25</v>
      </c>
      <c r="L24" s="21">
        <f>ROUND((G24*11 + H24*11 + I24*5 + J24*8 + K24*16), 0)</f>
        <v/>
      </c>
      <c r="M24" s="19">
        <f>ROUND(AVERAGE(G24:K24), 2)</f>
        <v/>
      </c>
      <c r="N24" s="11">
        <f>IF(M24&gt;=4.5,"Excelente (E)", IF(M24&gt;=3.5,"Muito Bom (MB)", IF(M24&gt;=2.5,"Bom (B)", IF(M24&gt;=1.5,"Regular (R)","Deficiente (D)"))))</f>
        <v/>
      </c>
      <c r="O24" s="28" t="inlineStr">
        <is>
          <t>Concluído</t>
        </is>
      </c>
    </row>
    <row r="25" ht="20" customHeight="1">
      <c r="A25" s="24" t="n">
        <v>20</v>
      </c>
      <c r="B25" s="39" t="inlineStr">
        <is>
          <t>Pr. Nelson M. Avelino</t>
        </is>
      </c>
      <c r="C25" s="39" t="inlineStr">
        <is>
          <t>Central-Caála</t>
        </is>
      </c>
      <c r="D25" s="24" t="inlineStr">
        <is>
          <t>Huambo</t>
        </is>
      </c>
      <c r="E25" s="39" t="inlineStr">
        <is>
          <t>Pastor Distrital</t>
        </is>
      </c>
      <c r="F25" s="24" t="inlineStr">
        <is>
          <t>929252438</t>
        </is>
      </c>
      <c r="G25" s="40" t="n">
        <v>4.7</v>
      </c>
      <c r="H25" s="40" t="n">
        <v>4.75</v>
      </c>
      <c r="I25" s="40" t="n">
        <v>4.65</v>
      </c>
      <c r="J25" s="40" t="n">
        <v>4.8</v>
      </c>
      <c r="K25" s="40" t="n">
        <v>4.7</v>
      </c>
      <c r="L25" s="27">
        <f>ROUND((G25*11 + H25*11 + I25*5 + J25*8 + K25*16), 0)</f>
        <v/>
      </c>
      <c r="M25" s="25">
        <f>ROUND(AVERAGE(G25:K25), 2)</f>
        <v/>
      </c>
      <c r="N25" s="11">
        <f>IF(M25&gt;=4.5,"Excelente (E)", IF(M25&gt;=3.5,"Muito Bom (MB)", IF(M25&gt;=2.5,"Bom (B)", IF(M25&gt;=1.5,"Regular (R)","Deficiente (D)"))))</f>
        <v/>
      </c>
      <c r="O25" s="29" t="inlineStr">
        <is>
          <t>Concluído</t>
        </is>
      </c>
    </row>
    <row r="26" ht="20" customHeight="1">
      <c r="A26" s="18" t="n">
        <v>21</v>
      </c>
      <c r="B26" s="37" t="inlineStr">
        <is>
          <t>Pr. Gomes João</t>
        </is>
      </c>
      <c r="C26" s="37" t="inlineStr">
        <is>
          <t>Central Huambo</t>
        </is>
      </c>
      <c r="D26" s="18" t="inlineStr">
        <is>
          <t>Huambo</t>
        </is>
      </c>
      <c r="E26" s="37" t="inlineStr">
        <is>
          <t>Pastor Distrital</t>
        </is>
      </c>
      <c r="F26" s="18" t="inlineStr">
        <is>
          <t>928284295</t>
        </is>
      </c>
      <c r="G26" s="38" t="n">
        <v>4.8</v>
      </c>
      <c r="H26" s="38" t="n">
        <v>4.85</v>
      </c>
      <c r="I26" s="38" t="n">
        <v>4.75</v>
      </c>
      <c r="J26" s="38" t="n">
        <v>4.85</v>
      </c>
      <c r="K26" s="38" t="n">
        <v>4.8</v>
      </c>
      <c r="L26" s="21">
        <f>ROUND((G26*11 + H26*11 + I26*5 + J26*8 + K26*16), 0)</f>
        <v/>
      </c>
      <c r="M26" s="19">
        <f>ROUND(AVERAGE(G26:K26), 2)</f>
        <v/>
      </c>
      <c r="N26" s="11">
        <f>IF(M26&gt;=4.5,"Excelente (E)", IF(M26&gt;=3.5,"Muito Bom (MB)", IF(M26&gt;=2.5,"Bom (B)", IF(M26&gt;=1.5,"Regular (R)","Deficiente (D)"))))</f>
        <v/>
      </c>
      <c r="O26" s="28" t="inlineStr">
        <is>
          <t>Concluído</t>
        </is>
      </c>
    </row>
    <row r="27" ht="20" customHeight="1">
      <c r="A27" s="24" t="n">
        <v>22</v>
      </c>
      <c r="B27" s="39" t="inlineStr">
        <is>
          <t>Pr. Joaquim Chaves Cabral</t>
        </is>
      </c>
      <c r="C27" s="39" t="inlineStr">
        <is>
          <t>Central-CD / Chipipa</t>
        </is>
      </c>
      <c r="D27" s="24" t="inlineStr">
        <is>
          <t>Huambo</t>
        </is>
      </c>
      <c r="E27" s="39" t="inlineStr">
        <is>
          <t>Pastor Distrital</t>
        </is>
      </c>
      <c r="F27" s="24" t="inlineStr">
        <is>
          <t>925151375</t>
        </is>
      </c>
      <c r="G27" s="40" t="n">
        <v>4.55</v>
      </c>
      <c r="H27" s="40" t="n">
        <v>4.6</v>
      </c>
      <c r="I27" s="40" t="n">
        <v>4.5</v>
      </c>
      <c r="J27" s="40" t="n">
        <v>4.65</v>
      </c>
      <c r="K27" s="40" t="n">
        <v>4.55</v>
      </c>
      <c r="L27" s="27">
        <f>ROUND((G27*11 + H27*11 + I27*5 + J27*8 + K27*16), 0)</f>
        <v/>
      </c>
      <c r="M27" s="25">
        <f>ROUND(AVERAGE(G27:K27), 2)</f>
        <v/>
      </c>
      <c r="N27" s="11">
        <f>IF(M27&gt;=4.5,"Excelente (E)", IF(M27&gt;=3.5,"Muito Bom (MB)", IF(M27&gt;=2.5,"Bom (B)", IF(M27&gt;=1.5,"Regular (R)","Deficiente (D)"))))</f>
        <v/>
      </c>
      <c r="O27" s="29" t="inlineStr">
        <is>
          <t>Concluído</t>
        </is>
      </c>
    </row>
    <row r="28" ht="20" customHeight="1">
      <c r="A28" s="18" t="n">
        <v>23</v>
      </c>
      <c r="B28" s="37" t="inlineStr">
        <is>
          <t>Pr. Alberto C. Laurindo</t>
        </is>
      </c>
      <c r="C28" s="37" t="inlineStr">
        <is>
          <t>Centro Kuito</t>
        </is>
      </c>
      <c r="D28" s="18" t="inlineStr">
        <is>
          <t>Bié</t>
        </is>
      </c>
      <c r="E28" s="37" t="inlineStr">
        <is>
          <t>Pastor Distrital</t>
        </is>
      </c>
      <c r="F28" s="18" t="inlineStr">
        <is>
          <t>925398527</t>
        </is>
      </c>
      <c r="G28" s="38" t="n">
        <v>4.6</v>
      </c>
      <c r="H28" s="38" t="n">
        <v>4.65</v>
      </c>
      <c r="I28" s="38" t="n">
        <v>4.55</v>
      </c>
      <c r="J28" s="38" t="n">
        <v>4.7</v>
      </c>
      <c r="K28" s="38" t="n">
        <v>4.6</v>
      </c>
      <c r="L28" s="21">
        <f>ROUND((G28*11 + H28*11 + I28*5 + J28*8 + K28*16), 0)</f>
        <v/>
      </c>
      <c r="M28" s="19">
        <f>ROUND(AVERAGE(G28:K28), 2)</f>
        <v/>
      </c>
      <c r="N28" s="11">
        <f>IF(M28&gt;=4.5,"Excelente (E)", IF(M28&gt;=3.5,"Muito Bom (MB)", IF(M28&gt;=2.5,"Bom (B)", IF(M28&gt;=1.5,"Regular (R)","Deficiente (D)"))))</f>
        <v/>
      </c>
      <c r="O28" s="28" t="inlineStr">
        <is>
          <t>Concluído</t>
        </is>
      </c>
    </row>
    <row r="29" ht="20" customHeight="1">
      <c r="A29" s="24" t="n">
        <v>24</v>
      </c>
      <c r="B29" s="39" t="inlineStr">
        <is>
          <t>Pr. Barnabé Daniel Fino</t>
        </is>
      </c>
      <c r="C29" s="39" t="inlineStr">
        <is>
          <t>Chicala Cholohanga</t>
        </is>
      </c>
      <c r="D29" s="24" t="inlineStr">
        <is>
          <t>Huambo</t>
        </is>
      </c>
      <c r="E29" s="39" t="inlineStr">
        <is>
          <t>Pastor Distrital</t>
        </is>
      </c>
      <c r="F29" s="24" t="inlineStr">
        <is>
          <t>923388570</t>
        </is>
      </c>
      <c r="G29" s="40" t="n">
        <v>4.4</v>
      </c>
      <c r="H29" s="40" t="n">
        <v>4.45</v>
      </c>
      <c r="I29" s="40" t="n">
        <v>4.35</v>
      </c>
      <c r="J29" s="40" t="n">
        <v>4.5</v>
      </c>
      <c r="K29" s="40" t="n">
        <v>4.4</v>
      </c>
      <c r="L29" s="27">
        <f>ROUND((G29*11 + H29*11 + I29*5 + J29*8 + K29*16), 0)</f>
        <v/>
      </c>
      <c r="M29" s="25">
        <f>ROUND(AVERAGE(G29:K29), 2)</f>
        <v/>
      </c>
      <c r="N29" s="11">
        <f>IF(M29&gt;=4.5,"Excelente (E)", IF(M29&gt;=3.5,"Muito Bom (MB)", IF(M29&gt;=2.5,"Bom (B)", IF(M29&gt;=1.5,"Regular (R)","Deficiente (D)"))))</f>
        <v/>
      </c>
      <c r="O29" s="29" t="inlineStr">
        <is>
          <t>Concluído</t>
        </is>
      </c>
    </row>
    <row r="30" ht="20" customHeight="1">
      <c r="A30" s="18" t="n">
        <v>25</v>
      </c>
      <c r="B30" s="37" t="inlineStr">
        <is>
          <t>Pr. Adriano Delfim Feca</t>
        </is>
      </c>
      <c r="C30" s="37" t="inlineStr">
        <is>
          <t>Chicala Tcholoanga</t>
        </is>
      </c>
      <c r="D30" s="18" t="inlineStr">
        <is>
          <t>Huambo</t>
        </is>
      </c>
      <c r="E30" s="37" t="inlineStr">
        <is>
          <t>Pastor Distrital</t>
        </is>
      </c>
      <c r="F30" s="18" t="inlineStr">
        <is>
          <t>929336906</t>
        </is>
      </c>
      <c r="G30" s="38" t="n">
        <v>4.45</v>
      </c>
      <c r="H30" s="38" t="n">
        <v>4.5</v>
      </c>
      <c r="I30" s="38" t="n">
        <v>4.4</v>
      </c>
      <c r="J30" s="38" t="n">
        <v>4.55</v>
      </c>
      <c r="K30" s="38" t="n">
        <v>4.45</v>
      </c>
      <c r="L30" s="21">
        <f>ROUND((G30*11 + H30*11 + I30*5 + J30*8 + K30*16), 0)</f>
        <v/>
      </c>
      <c r="M30" s="19">
        <f>ROUND(AVERAGE(G30:K30), 2)</f>
        <v/>
      </c>
      <c r="N30" s="11">
        <f>IF(M30&gt;=4.5,"Excelente (E)", IF(M30&gt;=3.5,"Muito Bom (MB)", IF(M30&gt;=2.5,"Bom (B)", IF(M30&gt;=1.5,"Regular (R)","Deficiente (D)"))))</f>
        <v/>
      </c>
      <c r="O30" s="28" t="inlineStr">
        <is>
          <t>Concluído</t>
        </is>
      </c>
    </row>
    <row r="31" ht="20" customHeight="1">
      <c r="A31" s="24" t="n">
        <v>26</v>
      </c>
      <c r="B31" s="39" t="inlineStr">
        <is>
          <t>Pr. Azevedo Manuel</t>
        </is>
      </c>
      <c r="C31" s="39" t="inlineStr">
        <is>
          <t>Chinguar</t>
        </is>
      </c>
      <c r="D31" s="24" t="inlineStr">
        <is>
          <t>Bié</t>
        </is>
      </c>
      <c r="E31" s="39" t="inlineStr">
        <is>
          <t>Pastor Distrital</t>
        </is>
      </c>
      <c r="F31" s="24" t="inlineStr">
        <is>
          <t>938832087</t>
        </is>
      </c>
      <c r="G31" s="40" t="n">
        <v>4.35</v>
      </c>
      <c r="H31" s="40" t="n">
        <v>4.4</v>
      </c>
      <c r="I31" s="40" t="n">
        <v>4.3</v>
      </c>
      <c r="J31" s="40" t="n">
        <v>4.45</v>
      </c>
      <c r="K31" s="40" t="n">
        <v>4.35</v>
      </c>
      <c r="L31" s="27">
        <f>ROUND((G31*11 + H31*11 + I31*5 + J31*8 + K31*16), 0)</f>
        <v/>
      </c>
      <c r="M31" s="25">
        <f>ROUND(AVERAGE(G31:K31), 2)</f>
        <v/>
      </c>
      <c r="N31" s="11">
        <f>IF(M31&gt;=4.5,"Excelente (E)", IF(M31&gt;=3.5,"Muito Bom (MB)", IF(M31&gt;=2.5,"Bom (B)", IF(M31&gt;=1.5,"Regular (R)","Deficiente (D)"))))</f>
        <v/>
      </c>
      <c r="O31" s="29" t="inlineStr">
        <is>
          <t>Concluído</t>
        </is>
      </c>
    </row>
    <row r="32" ht="20" customHeight="1">
      <c r="A32" s="18" t="n">
        <v>27</v>
      </c>
      <c r="B32" s="37" t="inlineStr">
        <is>
          <t>Pr. Frederico Valente</t>
        </is>
      </c>
      <c r="C32" s="37" t="inlineStr">
        <is>
          <t>Chinjenje</t>
        </is>
      </c>
      <c r="D32" s="18" t="inlineStr">
        <is>
          <t>Huambo</t>
        </is>
      </c>
      <c r="E32" s="37" t="inlineStr">
        <is>
          <t>Pastor Distrital</t>
        </is>
      </c>
      <c r="F32" s="18" t="inlineStr">
        <is>
          <t>938832087</t>
        </is>
      </c>
      <c r="G32" s="38" t="n">
        <v>4.5</v>
      </c>
      <c r="H32" s="38" t="n">
        <v>4.55</v>
      </c>
      <c r="I32" s="38" t="n">
        <v>4.45</v>
      </c>
      <c r="J32" s="38" t="n">
        <v>4.6</v>
      </c>
      <c r="K32" s="38" t="n">
        <v>4.5</v>
      </c>
      <c r="L32" s="21">
        <f>ROUND((G32*11 + H32*11 + I32*5 + J32*8 + K32*16), 0)</f>
        <v/>
      </c>
      <c r="M32" s="19">
        <f>ROUND(AVERAGE(G32:K32), 2)</f>
        <v/>
      </c>
      <c r="N32" s="11">
        <f>IF(M32&gt;=4.5,"Excelente (E)", IF(M32&gt;=3.5,"Muito Bom (MB)", IF(M32&gt;=2.5,"Bom (B)", IF(M32&gt;=1.5,"Regular (R)","Deficiente (D)"))))</f>
        <v/>
      </c>
      <c r="O32" s="28" t="inlineStr">
        <is>
          <t>Concluído</t>
        </is>
      </c>
    </row>
    <row r="33" ht="20" customHeight="1">
      <c r="A33" s="24" t="n">
        <v>28</v>
      </c>
      <c r="B33" s="39" t="inlineStr">
        <is>
          <t>Pr. Henriques Mariano</t>
        </is>
      </c>
      <c r="C33" s="39" t="inlineStr">
        <is>
          <t>CRC – Caála</t>
        </is>
      </c>
      <c r="D33" s="24" t="inlineStr">
        <is>
          <t>Huambo</t>
        </is>
      </c>
      <c r="E33" s="39" t="inlineStr">
        <is>
          <t>Pastor Distrital</t>
        </is>
      </c>
      <c r="F33" s="24" t="inlineStr">
        <is>
          <t>922002569</t>
        </is>
      </c>
      <c r="G33" s="40" t="n">
        <v>4.55</v>
      </c>
      <c r="H33" s="40" t="n">
        <v>4.6</v>
      </c>
      <c r="I33" s="40" t="n">
        <v>4.5</v>
      </c>
      <c r="J33" s="40" t="n">
        <v>4.65</v>
      </c>
      <c r="K33" s="40" t="n">
        <v>4.55</v>
      </c>
      <c r="L33" s="27">
        <f>ROUND((G33*11 + H33*11 + I33*5 + J33*8 + K33*16), 0)</f>
        <v/>
      </c>
      <c r="M33" s="25">
        <f>ROUND(AVERAGE(G33:K33), 2)</f>
        <v/>
      </c>
      <c r="N33" s="11">
        <f>IF(M33&gt;=4.5,"Excelente (E)", IF(M33&gt;=3.5,"Muito Bom (MB)", IF(M33&gt;=2.5,"Bom (B)", IF(M33&gt;=1.5,"Regular (R)","Deficiente (D)"))))</f>
        <v/>
      </c>
      <c r="O33" s="29" t="inlineStr">
        <is>
          <t>Concluído</t>
        </is>
      </c>
    </row>
    <row r="34" ht="20" customHeight="1">
      <c r="A34" s="18" t="n">
        <v>29</v>
      </c>
      <c r="B34" s="37" t="inlineStr">
        <is>
          <t>Pr. Distino Dinis Mulonde</t>
        </is>
      </c>
      <c r="C34" s="37" t="inlineStr">
        <is>
          <t>Cristo Vencedor</t>
        </is>
      </c>
      <c r="D34" s="18" t="inlineStr">
        <is>
          <t>Huambo</t>
        </is>
      </c>
      <c r="E34" s="37" t="inlineStr">
        <is>
          <t>Pastor Distrital</t>
        </is>
      </c>
      <c r="F34" s="18" t="inlineStr">
        <is>
          <t>933632295</t>
        </is>
      </c>
      <c r="G34" s="38" t="n">
        <v>4.4</v>
      </c>
      <c r="H34" s="38" t="n">
        <v>4.45</v>
      </c>
      <c r="I34" s="38" t="n">
        <v>4.35</v>
      </c>
      <c r="J34" s="38" t="n">
        <v>4.5</v>
      </c>
      <c r="K34" s="38" t="n">
        <v>4.4</v>
      </c>
      <c r="L34" s="21">
        <f>ROUND((G34*11 + H34*11 + I34*5 + J34*8 + K34*16), 0)</f>
        <v/>
      </c>
      <c r="M34" s="19">
        <f>ROUND(AVERAGE(G34:K34), 2)</f>
        <v/>
      </c>
      <c r="N34" s="11">
        <f>IF(M34&gt;=4.5,"Excelente (E)", IF(M34&gt;=3.5,"Muito Bom (MB)", IF(M34&gt;=2.5,"Bom (B)", IF(M34&gt;=1.5,"Regular (R)","Deficiente (D)"))))</f>
        <v/>
      </c>
      <c r="O34" s="28" t="inlineStr">
        <is>
          <t>Concluído</t>
        </is>
      </c>
    </row>
    <row r="35" ht="20" customHeight="1">
      <c r="A35" s="24" t="n">
        <v>30</v>
      </c>
      <c r="B35" s="39" t="inlineStr">
        <is>
          <t>Pr. Emanuel Lucamba</t>
        </is>
      </c>
      <c r="C35" s="39" t="inlineStr">
        <is>
          <t>Distrito Norte-Menongue</t>
        </is>
      </c>
      <c r="D35" s="24" t="inlineStr">
        <is>
          <t>Cubango</t>
        </is>
      </c>
      <c r="E35" s="39" t="inlineStr">
        <is>
          <t>Pastor Distrital</t>
        </is>
      </c>
      <c r="F35" s="24" t="inlineStr">
        <is>
          <t>923311835</t>
        </is>
      </c>
      <c r="G35" s="40" t="n">
        <v>4.5</v>
      </c>
      <c r="H35" s="40" t="n">
        <v>4.55</v>
      </c>
      <c r="I35" s="40" t="n">
        <v>4.45</v>
      </c>
      <c r="J35" s="40" t="n">
        <v>4.6</v>
      </c>
      <c r="K35" s="40" t="n">
        <v>4.5</v>
      </c>
      <c r="L35" s="27">
        <f>ROUND((G35*11 + H35*11 + I35*5 + J35*8 + K35*16), 0)</f>
        <v/>
      </c>
      <c r="M35" s="25">
        <f>ROUND(AVERAGE(G35:K35), 2)</f>
        <v/>
      </c>
      <c r="N35" s="11">
        <f>IF(M35&gt;=4.5,"Excelente (E)", IF(M35&gt;=3.5,"Muito Bom (MB)", IF(M35&gt;=2.5,"Bom (B)", IF(M35&gt;=1.5,"Regular (R)","Deficiente (D)"))))</f>
        <v/>
      </c>
      <c r="O35" s="29" t="inlineStr">
        <is>
          <t>Concluído</t>
        </is>
      </c>
    </row>
    <row r="36" ht="20" customHeight="1">
      <c r="A36" s="18" t="n">
        <v>31</v>
      </c>
      <c r="B36" s="37" t="inlineStr">
        <is>
          <t>Pr. Erasmo Luvumba</t>
        </is>
      </c>
      <c r="C36" s="37" t="inlineStr">
        <is>
          <t>Esmirna</t>
        </is>
      </c>
      <c r="D36" s="18" t="inlineStr">
        <is>
          <t>Bié</t>
        </is>
      </c>
      <c r="E36" s="37" t="inlineStr">
        <is>
          <t>Pastor Distrital</t>
        </is>
      </c>
      <c r="F36" s="18" t="inlineStr">
        <is>
          <t>949682097</t>
        </is>
      </c>
      <c r="G36" s="38" t="n">
        <v>4.6</v>
      </c>
      <c r="H36" s="38" t="n">
        <v>4.65</v>
      </c>
      <c r="I36" s="38" t="n">
        <v>4.55</v>
      </c>
      <c r="J36" s="38" t="n">
        <v>4.7</v>
      </c>
      <c r="K36" s="38" t="n">
        <v>4.6</v>
      </c>
      <c r="L36" s="21">
        <f>ROUND((G36*11 + H36*11 + I36*5 + J36*8 + K36*16), 0)</f>
        <v/>
      </c>
      <c r="M36" s="19">
        <f>ROUND(AVERAGE(G36:K36), 2)</f>
        <v/>
      </c>
      <c r="N36" s="11">
        <f>IF(M36&gt;=4.5,"Excelente (E)", IF(M36&gt;=3.5,"Muito Bom (MB)", IF(M36&gt;=2.5,"Bom (B)", IF(M36&gt;=1.5,"Regular (R)","Deficiente (D)"))))</f>
        <v/>
      </c>
      <c r="O36" s="28" t="inlineStr">
        <is>
          <t>Concluído</t>
        </is>
      </c>
    </row>
    <row r="37" ht="20" customHeight="1">
      <c r="A37" s="24" t="n">
        <v>32</v>
      </c>
      <c r="B37" s="39" t="inlineStr">
        <is>
          <t>Pr. Daniel Cameia</t>
        </is>
      </c>
      <c r="C37" s="39" t="inlineStr">
        <is>
          <t>Filadélfia</t>
        </is>
      </c>
      <c r="D37" s="24" t="inlineStr">
        <is>
          <t>Huambo</t>
        </is>
      </c>
      <c r="E37" s="39" t="inlineStr">
        <is>
          <t>Pastor Distrital</t>
        </is>
      </c>
      <c r="F37" s="24" t="inlineStr">
        <is>
          <t>923377023</t>
        </is>
      </c>
      <c r="G37" s="40" t="n">
        <v>4.5</v>
      </c>
      <c r="H37" s="40" t="n">
        <v>4.55</v>
      </c>
      <c r="I37" s="40" t="n">
        <v>4.45</v>
      </c>
      <c r="J37" s="40" t="n">
        <v>4.6</v>
      </c>
      <c r="K37" s="40" t="n">
        <v>4.5</v>
      </c>
      <c r="L37" s="27">
        <f>ROUND((G37*11 + H37*11 + I37*5 + J37*8 + K37*16), 0)</f>
        <v/>
      </c>
      <c r="M37" s="25">
        <f>ROUND(AVERAGE(G37:K37), 2)</f>
        <v/>
      </c>
      <c r="N37" s="11">
        <f>IF(M37&gt;=4.5,"Excelente (E)", IF(M37&gt;=3.5,"Muito Bom (MB)", IF(M37&gt;=2.5,"Bom (B)", IF(M37&gt;=1.5,"Regular (R)","Deficiente (D)"))))</f>
        <v/>
      </c>
      <c r="O37" s="29" t="inlineStr">
        <is>
          <t>Concluído</t>
        </is>
      </c>
    </row>
    <row r="38" ht="20" customHeight="1">
      <c r="A38" s="18" t="n">
        <v>33</v>
      </c>
      <c r="B38" s="37" t="inlineStr">
        <is>
          <t>Pr. Martinho Sapato</t>
        </is>
      </c>
      <c r="C38" s="37" t="inlineStr">
        <is>
          <t>Huambo</t>
        </is>
      </c>
      <c r="D38" s="18" t="inlineStr">
        <is>
          <t>Huambo</t>
        </is>
      </c>
      <c r="E38" s="37" t="inlineStr">
        <is>
          <t>Pastor Distrital</t>
        </is>
      </c>
      <c r="F38" s="18" t="inlineStr">
        <is>
          <t>924869785</t>
        </is>
      </c>
      <c r="G38" s="38" t="n">
        <v>4.45</v>
      </c>
      <c r="H38" s="38" t="n">
        <v>4.5</v>
      </c>
      <c r="I38" s="38" t="n">
        <v>4.4</v>
      </c>
      <c r="J38" s="38" t="n">
        <v>4.55</v>
      </c>
      <c r="K38" s="38" t="n">
        <v>4.45</v>
      </c>
      <c r="L38" s="21">
        <f>ROUND((G38*11 + H38*11 + I38*5 + J38*8 + K38*16), 0)</f>
        <v/>
      </c>
      <c r="M38" s="19">
        <f>ROUND(AVERAGE(G38:K38), 2)</f>
        <v/>
      </c>
      <c r="N38" s="11">
        <f>IF(M38&gt;=4.5,"Excelente (E)", IF(M38&gt;=3.5,"Muito Bom (MB)", IF(M38&gt;=2.5,"Bom (B)", IF(M38&gt;=1.5,"Regular (R)","Deficiente (D)"))))</f>
        <v/>
      </c>
      <c r="O38" s="28" t="inlineStr">
        <is>
          <t>Concluído</t>
        </is>
      </c>
    </row>
    <row r="39" ht="20" customHeight="1">
      <c r="A39" s="24" t="n">
        <v>34</v>
      </c>
      <c r="B39" s="39" t="inlineStr">
        <is>
          <t>Pr. Ernesto M. Enoque</t>
        </is>
      </c>
      <c r="C39" s="39" t="inlineStr">
        <is>
          <t>Huambo</t>
        </is>
      </c>
      <c r="D39" s="24" t="inlineStr">
        <is>
          <t>Huambo</t>
        </is>
      </c>
      <c r="E39" s="39" t="inlineStr">
        <is>
          <t>Pastor Distrital</t>
        </is>
      </c>
      <c r="F39" s="24" t="inlineStr">
        <is>
          <t>923881920</t>
        </is>
      </c>
      <c r="G39" s="40" t="n">
        <v>4.5</v>
      </c>
      <c r="H39" s="40" t="n">
        <v>4.55</v>
      </c>
      <c r="I39" s="40" t="n">
        <v>4.45</v>
      </c>
      <c r="J39" s="40" t="n">
        <v>4.6</v>
      </c>
      <c r="K39" s="40" t="n">
        <v>4.5</v>
      </c>
      <c r="L39" s="27">
        <f>ROUND((G39*11 + H39*11 + I39*5 + J39*8 + K39*16), 0)</f>
        <v/>
      </c>
      <c r="M39" s="25">
        <f>ROUND(AVERAGE(G39:K39), 2)</f>
        <v/>
      </c>
      <c r="N39" s="11">
        <f>IF(M39&gt;=4.5,"Excelente (E)", IF(M39&gt;=3.5,"Muito Bom (MB)", IF(M39&gt;=2.5,"Bom (B)", IF(M39&gt;=1.5,"Regular (R)","Deficiente (D)"))))</f>
        <v/>
      </c>
      <c r="O39" s="29" t="inlineStr">
        <is>
          <t>Concluído</t>
        </is>
      </c>
    </row>
    <row r="40" ht="20" customHeight="1">
      <c r="A40" s="18" t="n">
        <v>35</v>
      </c>
      <c r="B40" s="37" t="inlineStr">
        <is>
          <t>Pr. Martins Menezes</t>
        </is>
      </c>
      <c r="C40" s="37" t="inlineStr">
        <is>
          <t>Cuemba</t>
        </is>
      </c>
      <c r="D40" s="18" t="inlineStr">
        <is>
          <t>Bié</t>
        </is>
      </c>
      <c r="E40" s="37" t="inlineStr">
        <is>
          <t>Pastor Distrital</t>
        </is>
      </c>
      <c r="F40" s="18" t="inlineStr">
        <is>
          <t>924685651</t>
        </is>
      </c>
      <c r="G40" s="38" t="n">
        <v>4.35</v>
      </c>
      <c r="H40" s="38" t="n">
        <v>4.4</v>
      </c>
      <c r="I40" s="38" t="n">
        <v>4.3</v>
      </c>
      <c r="J40" s="38" t="n">
        <v>4.45</v>
      </c>
      <c r="K40" s="38" t="n">
        <v>4.35</v>
      </c>
      <c r="L40" s="21">
        <f>ROUND((G40*11 + H40*11 + I40*5 + J40*8 + K40*16), 0)</f>
        <v/>
      </c>
      <c r="M40" s="19">
        <f>ROUND(AVERAGE(G40:K40), 2)</f>
        <v/>
      </c>
      <c r="N40" s="11">
        <f>IF(M40&gt;=4.5,"Excelente (E)", IF(M40&gt;=3.5,"Muito Bom (MB)", IF(M40&gt;=2.5,"Bom (B)", IF(M40&gt;=1.5,"Regular (R)","Deficiente (D)"))))</f>
        <v/>
      </c>
      <c r="O40" s="28" t="inlineStr">
        <is>
          <t>Concluído</t>
        </is>
      </c>
    </row>
    <row r="41" ht="20" customHeight="1">
      <c r="A41" s="24" t="n">
        <v>36</v>
      </c>
      <c r="B41" s="39" t="inlineStr">
        <is>
          <t>Pr. António Sebastião</t>
        </is>
      </c>
      <c r="C41" s="39" t="inlineStr">
        <is>
          <t>Cuima</t>
        </is>
      </c>
      <c r="D41" s="24" t="inlineStr">
        <is>
          <t>Huambo</t>
        </is>
      </c>
      <c r="E41" s="39" t="inlineStr">
        <is>
          <t>Pastor Distrital</t>
        </is>
      </c>
      <c r="F41" s="24" t="inlineStr">
        <is>
          <t>924864412</t>
        </is>
      </c>
      <c r="G41" s="40" t="n">
        <v>4.4</v>
      </c>
      <c r="H41" s="40" t="n">
        <v>4.45</v>
      </c>
      <c r="I41" s="40" t="n">
        <v>4.35</v>
      </c>
      <c r="J41" s="40" t="n">
        <v>4.5</v>
      </c>
      <c r="K41" s="40" t="n">
        <v>4.4</v>
      </c>
      <c r="L41" s="27">
        <f>ROUND((G41*11 + H41*11 + I41*5 + J41*8 + K41*16), 0)</f>
        <v/>
      </c>
      <c r="M41" s="25">
        <f>ROUND(AVERAGE(G41:K41), 2)</f>
        <v/>
      </c>
      <c r="N41" s="11">
        <f>IF(M41&gt;=4.5,"Excelente (E)", IF(M41&gt;=3.5,"Muito Bom (MB)", IF(M41&gt;=2.5,"Bom (B)", IF(M41&gt;=1.5,"Regular (R)","Deficiente (D)"))))</f>
        <v/>
      </c>
      <c r="O41" s="29" t="inlineStr">
        <is>
          <t>Concluído</t>
        </is>
      </c>
    </row>
    <row r="42" ht="20" customHeight="1">
      <c r="A42" s="18" t="n">
        <v>37</v>
      </c>
      <c r="B42" s="37" t="inlineStr">
        <is>
          <t>Pr. Roberto Cambinda</t>
        </is>
      </c>
      <c r="C42" s="37" t="inlineStr">
        <is>
          <t>Cuito Cuanavale</t>
        </is>
      </c>
      <c r="D42" s="18" t="inlineStr">
        <is>
          <t>Quando</t>
        </is>
      </c>
      <c r="E42" s="37" t="inlineStr">
        <is>
          <t>Pastor Distrital</t>
        </is>
      </c>
      <c r="F42" s="18" t="inlineStr">
        <is>
          <t>923621244</t>
        </is>
      </c>
      <c r="G42" s="38" t="n">
        <v>4.3</v>
      </c>
      <c r="H42" s="38" t="n">
        <v>4.35</v>
      </c>
      <c r="I42" s="38" t="n">
        <v>4.25</v>
      </c>
      <c r="J42" s="38" t="n">
        <v>4.4</v>
      </c>
      <c r="K42" s="38" t="n">
        <v>4.3</v>
      </c>
      <c r="L42" s="21">
        <f>ROUND((G42*11 + H42*11 + I42*5 + J42*8 + K42*16), 0)</f>
        <v/>
      </c>
      <c r="M42" s="19">
        <f>ROUND(AVERAGE(G42:K42), 2)</f>
        <v/>
      </c>
      <c r="N42" s="11">
        <f>IF(M42&gt;=4.5,"Excelente (E)", IF(M42&gt;=3.5,"Muito Bom (MB)", IF(M42&gt;=2.5,"Bom (B)", IF(M42&gt;=1.5,"Regular (R)","Deficiente (D)"))))</f>
        <v/>
      </c>
      <c r="O42" s="28" t="inlineStr">
        <is>
          <t>Concluído</t>
        </is>
      </c>
    </row>
    <row r="43" ht="20" customHeight="1">
      <c r="A43" s="24" t="n">
        <v>38</v>
      </c>
      <c r="B43" s="39" t="inlineStr">
        <is>
          <t>Pr. Valentino Canguele</t>
        </is>
      </c>
      <c r="C43" s="39" t="inlineStr">
        <is>
          <t>Cunhinga</t>
        </is>
      </c>
      <c r="D43" s="24" t="inlineStr">
        <is>
          <t>Bié</t>
        </is>
      </c>
      <c r="E43" s="39" t="inlineStr">
        <is>
          <t>Pastor Distrital</t>
        </is>
      </c>
      <c r="F43" s="24" t="inlineStr">
        <is>
          <t>926445277</t>
        </is>
      </c>
      <c r="G43" s="40" t="n">
        <v>1</v>
      </c>
      <c r="H43" s="40" t="n">
        <v>4.7</v>
      </c>
      <c r="I43" s="40" t="n">
        <v>2</v>
      </c>
      <c r="J43" s="40" t="n">
        <v>1</v>
      </c>
      <c r="K43" s="40" t="n">
        <v>2</v>
      </c>
      <c r="L43" s="27">
        <f>ROUND((G43*11 + H43*11 + I43*5 + J43*8 + K43*16), 0)</f>
        <v/>
      </c>
      <c r="M43" s="25">
        <f>ROUND(AVERAGE(G43:K43), 2)</f>
        <v/>
      </c>
      <c r="N43" s="11">
        <f>IF(M43&gt;=4.5,"Excelente (E)", IF(M43&gt;=3.5,"Muito Bom (MB)", IF(M43&gt;=2.5,"Bom (B)", IF(M43&gt;=1.5,"Regular (R)","Deficiente (D)"))))</f>
        <v/>
      </c>
      <c r="O43" s="29" t="inlineStr">
        <is>
          <t>Concluído</t>
        </is>
      </c>
    </row>
    <row r="44" ht="20" customHeight="1">
      <c r="A44" s="18" t="n">
        <v>39</v>
      </c>
      <c r="B44" s="37" t="inlineStr">
        <is>
          <t>Pr. Martinho Capela</t>
        </is>
      </c>
      <c r="C44" s="37" t="inlineStr">
        <is>
          <t>Damasco</t>
        </is>
      </c>
      <c r="D44" s="18" t="inlineStr">
        <is>
          <t>Huambo</t>
        </is>
      </c>
      <c r="E44" s="37" t="inlineStr">
        <is>
          <t>Pastor Distrital</t>
        </is>
      </c>
      <c r="F44" s="18" t="inlineStr">
        <is>
          <t>944275639</t>
        </is>
      </c>
      <c r="G44" s="38" t="n">
        <v>4.5</v>
      </c>
      <c r="H44" s="38" t="n">
        <v>4.55</v>
      </c>
      <c r="I44" s="38" t="n">
        <v>4.45</v>
      </c>
      <c r="J44" s="38" t="n">
        <v>4.6</v>
      </c>
      <c r="K44" s="38" t="n">
        <v>4.5</v>
      </c>
      <c r="L44" s="21">
        <f>ROUND((G44*11 + H44*11 + I44*5 + J44*8 + K44*16), 0)</f>
        <v/>
      </c>
      <c r="M44" s="19">
        <f>ROUND(AVERAGE(G44:K44), 2)</f>
        <v/>
      </c>
      <c r="N44" s="11">
        <f>IF(M44&gt;=4.5,"Excelente (E)", IF(M44&gt;=3.5,"Muito Bom (MB)", IF(M44&gt;=2.5,"Bom (B)", IF(M44&gt;=1.5,"Regular (R)","Deficiente (D)"))))</f>
        <v/>
      </c>
      <c r="O44" s="28" t="inlineStr">
        <is>
          <t>Concluído</t>
        </is>
      </c>
    </row>
    <row r="45" ht="20" customHeight="1">
      <c r="A45" s="24" t="n">
        <v>40</v>
      </c>
      <c r="B45" s="39" t="inlineStr">
        <is>
          <t>Pr. Domingos Suquina</t>
        </is>
      </c>
      <c r="C45" s="39" t="inlineStr">
        <is>
          <t>ISPAB – Bongo</t>
        </is>
      </c>
      <c r="D45" s="24" t="inlineStr">
        <is>
          <t>Huambo</t>
        </is>
      </c>
      <c r="E45" s="39" t="inlineStr">
        <is>
          <t>Professor / Pastor</t>
        </is>
      </c>
      <c r="F45" s="24" t="inlineStr">
        <is>
          <t>923453812</t>
        </is>
      </c>
      <c r="G45" s="40" t="n">
        <v>4.7</v>
      </c>
      <c r="H45" s="40" t="n">
        <v>4.75</v>
      </c>
      <c r="I45" s="40" t="n">
        <v>4.65</v>
      </c>
      <c r="J45" s="40" t="n">
        <v>4.8</v>
      </c>
      <c r="K45" s="40" t="n">
        <v>4.7</v>
      </c>
      <c r="L45" s="27">
        <f>ROUND((G45*11 + H45*11 + I45*5 + J45*8 + K45*16), 0)</f>
        <v/>
      </c>
      <c r="M45" s="25">
        <f>ROUND(AVERAGE(G45:K45), 2)</f>
        <v/>
      </c>
      <c r="N45" s="11">
        <f>IF(M45&gt;=4.5,"Excelente (E)", IF(M45&gt;=3.5,"Muito Bom (MB)", IF(M45&gt;=2.5,"Bom (B)", IF(M45&gt;=1.5,"Regular (R)","Deficiente (D)"))))</f>
        <v/>
      </c>
      <c r="O45" s="29" t="inlineStr">
        <is>
          <t>Concluído</t>
        </is>
      </c>
    </row>
    <row r="46" ht="20" customHeight="1">
      <c r="A46" s="18" t="n">
        <v>41</v>
      </c>
      <c r="B46" s="37" t="inlineStr">
        <is>
          <t>Pr. Francisco Lumbungululu</t>
        </is>
      </c>
      <c r="C46" s="37" t="inlineStr">
        <is>
          <t>ISPAB – Bongo</t>
        </is>
      </c>
      <c r="D46" s="18" t="inlineStr">
        <is>
          <t>Huambo</t>
        </is>
      </c>
      <c r="E46" s="37" t="inlineStr">
        <is>
          <t>Professor / Pastor</t>
        </is>
      </c>
      <c r="F46" s="18" t="inlineStr">
        <is>
          <t>924636526</t>
        </is>
      </c>
      <c r="G46" s="38" t="n">
        <v>4.65</v>
      </c>
      <c r="H46" s="38" t="n">
        <v>4.7</v>
      </c>
      <c r="I46" s="38" t="n">
        <v>4.6</v>
      </c>
      <c r="J46" s="38" t="n">
        <v>4.75</v>
      </c>
      <c r="K46" s="38" t="n">
        <v>4.65</v>
      </c>
      <c r="L46" s="21">
        <f>ROUND((G46*11 + H46*11 + I46*5 + J46*8 + K46*16), 0)</f>
        <v/>
      </c>
      <c r="M46" s="19">
        <f>ROUND(AVERAGE(G46:K46), 2)</f>
        <v/>
      </c>
      <c r="N46" s="11">
        <f>IF(M46&gt;=4.5,"Excelente (E)", IF(M46&gt;=3.5,"Muito Bom (MB)", IF(M46&gt;=2.5,"Bom (B)", IF(M46&gt;=1.5,"Regular (R)","Deficiente (D)"))))</f>
        <v/>
      </c>
      <c r="O46" s="28" t="inlineStr">
        <is>
          <t>Concluído</t>
        </is>
      </c>
    </row>
    <row r="47" ht="20" customHeight="1">
      <c r="A47" s="24" t="n">
        <v>42</v>
      </c>
      <c r="B47" s="39" t="inlineStr">
        <is>
          <t>Pr. Manuel Filipe Pacheco</t>
        </is>
      </c>
      <c r="C47" s="39" t="inlineStr">
        <is>
          <t>ISPAB – Bongo</t>
        </is>
      </c>
      <c r="D47" s="24" t="inlineStr">
        <is>
          <t>Huambo</t>
        </is>
      </c>
      <c r="E47" s="39" t="inlineStr">
        <is>
          <t>Professor / Pastor</t>
        </is>
      </c>
      <c r="F47" s="24" t="inlineStr">
        <is>
          <t>929109679</t>
        </is>
      </c>
      <c r="G47" s="40" t="n">
        <v>4.6</v>
      </c>
      <c r="H47" s="40" t="n">
        <v>4.65</v>
      </c>
      <c r="I47" s="40" t="n">
        <v>4.55</v>
      </c>
      <c r="J47" s="40" t="n">
        <v>4.7</v>
      </c>
      <c r="K47" s="40" t="n">
        <v>4.6</v>
      </c>
      <c r="L47" s="27">
        <f>ROUND((G47*11 + H47*11 + I47*5 + J47*8 + K47*16), 0)</f>
        <v/>
      </c>
      <c r="M47" s="25">
        <f>ROUND(AVERAGE(G47:K47), 2)</f>
        <v/>
      </c>
      <c r="N47" s="11">
        <f>IF(M47&gt;=4.5,"Excelente (E)", IF(M47&gt;=3.5,"Muito Bom (MB)", IF(M47&gt;=2.5,"Bom (B)", IF(M47&gt;=1.5,"Regular (R)","Deficiente (D)"))))</f>
        <v/>
      </c>
      <c r="O47" s="29" t="inlineStr">
        <is>
          <t>Concluído</t>
        </is>
      </c>
    </row>
    <row r="48" ht="20" customHeight="1">
      <c r="A48" s="18" t="n">
        <v>43</v>
      </c>
      <c r="B48" s="37" t="inlineStr">
        <is>
          <t>Pr. António Bambi</t>
        </is>
      </c>
      <c r="C48" s="37" t="inlineStr">
        <is>
          <t>ISPAB – Bongo</t>
        </is>
      </c>
      <c r="D48" s="18" t="inlineStr">
        <is>
          <t>Huambo</t>
        </is>
      </c>
      <c r="E48" s="37" t="inlineStr">
        <is>
          <t>Professor / Pastor</t>
        </is>
      </c>
      <c r="F48" s="18" t="inlineStr">
        <is>
          <t>940323264</t>
        </is>
      </c>
      <c r="G48" s="38" t="n">
        <v>4.65</v>
      </c>
      <c r="H48" s="38" t="n">
        <v>4.7</v>
      </c>
      <c r="I48" s="38" t="n">
        <v>4.6</v>
      </c>
      <c r="J48" s="38" t="n">
        <v>4.75</v>
      </c>
      <c r="K48" s="38" t="n">
        <v>4.65</v>
      </c>
      <c r="L48" s="21">
        <f>ROUND((G48*11 + H48*11 + I48*5 + J48*8 + K48*16), 0)</f>
        <v/>
      </c>
      <c r="M48" s="19">
        <f>ROUND(AVERAGE(G48:K48), 2)</f>
        <v/>
      </c>
      <c r="N48" s="11">
        <f>IF(M48&gt;=4.5,"Excelente (E)", IF(M48&gt;=3.5,"Muito Bom (MB)", IF(M48&gt;=2.5,"Bom (B)", IF(M48&gt;=1.5,"Regular (R)","Deficiente (D)"))))</f>
        <v/>
      </c>
      <c r="O48" s="28" t="inlineStr">
        <is>
          <t>Concluído</t>
        </is>
      </c>
    </row>
    <row r="49" ht="20" customHeight="1">
      <c r="A49" s="24" t="n">
        <v>44</v>
      </c>
      <c r="B49" s="39" t="inlineStr">
        <is>
          <t>Pr. Colino Celino</t>
        </is>
      </c>
      <c r="C49" s="39" t="inlineStr">
        <is>
          <t>Jubilado</t>
        </is>
      </c>
      <c r="D49" s="24" t="inlineStr">
        <is>
          <t>Huambo</t>
        </is>
      </c>
      <c r="E49" s="39" t="inlineStr">
        <is>
          <t>Pastor Jubilado</t>
        </is>
      </c>
      <c r="F49" s="24" t="inlineStr">
        <is>
          <t>924750154</t>
        </is>
      </c>
      <c r="G49" s="40" t="n">
        <v>4.5</v>
      </c>
      <c r="H49" s="40" t="n">
        <v>4.5</v>
      </c>
      <c r="I49" s="40" t="n">
        <v>4.5</v>
      </c>
      <c r="J49" s="40" t="n">
        <v>4.5</v>
      </c>
      <c r="K49" s="40" t="n">
        <v>4.5</v>
      </c>
      <c r="L49" s="27">
        <f>ROUND((G49*11 + H49*11 + I49*5 + J49*8 + K49*16), 0)</f>
        <v/>
      </c>
      <c r="M49" s="25">
        <f>ROUND(AVERAGE(G49:K49), 2)</f>
        <v/>
      </c>
      <c r="N49" s="11">
        <f>IF(M49&gt;=4.5,"Excelente (E)", IF(M49&gt;=3.5,"Muito Bom (MB)", IF(M49&gt;=2.5,"Bom (B)", IF(M49&gt;=1.5,"Regular (R)","Deficiente (D)"))))</f>
        <v/>
      </c>
      <c r="O49" s="29" t="inlineStr">
        <is>
          <t>Concluído</t>
        </is>
      </c>
    </row>
    <row r="50" ht="20" customHeight="1">
      <c r="A50" s="18" t="n">
        <v>45</v>
      </c>
      <c r="B50" s="37" t="inlineStr">
        <is>
          <t>Pr. Samuel Catimba</t>
        </is>
      </c>
      <c r="C50" s="37" t="inlineStr">
        <is>
          <t>Galanga</t>
        </is>
      </c>
      <c r="D50" s="18" t="inlineStr">
        <is>
          <t>Huambo</t>
        </is>
      </c>
      <c r="E50" s="37" t="inlineStr">
        <is>
          <t>Pastor Distrital</t>
        </is>
      </c>
      <c r="F50" s="18" t="inlineStr">
        <is>
          <t>924429282</t>
        </is>
      </c>
      <c r="G50" s="38" t="n">
        <v>4.4</v>
      </c>
      <c r="H50" s="38" t="n">
        <v>4.45</v>
      </c>
      <c r="I50" s="38" t="n">
        <v>4.35</v>
      </c>
      <c r="J50" s="38" t="n">
        <v>4.5</v>
      </c>
      <c r="K50" s="38" t="n">
        <v>4.4</v>
      </c>
      <c r="L50" s="21">
        <f>ROUND((G50*11 + H50*11 + I50*5 + J50*8 + K50*16), 0)</f>
        <v/>
      </c>
      <c r="M50" s="19">
        <f>ROUND(AVERAGE(G50:K50), 2)</f>
        <v/>
      </c>
      <c r="N50" s="11">
        <f>IF(M50&gt;=4.5,"Excelente (E)", IF(M50&gt;=3.5,"Muito Bom (MB)", IF(M50&gt;=2.5,"Bom (B)", IF(M50&gt;=1.5,"Regular (R)","Deficiente (D)"))))</f>
        <v/>
      </c>
      <c r="O50" s="28" t="inlineStr">
        <is>
          <t>Concluído</t>
        </is>
      </c>
    </row>
    <row r="51" ht="20" customHeight="1">
      <c r="A51" s="24" t="n">
        <v>46</v>
      </c>
      <c r="B51" s="39" t="inlineStr">
        <is>
          <t>Pr. João Dinis José</t>
        </is>
      </c>
      <c r="C51" s="39" t="inlineStr">
        <is>
          <t>Kakelewa</t>
        </is>
      </c>
      <c r="D51" s="24" t="inlineStr">
        <is>
          <t>Huambo</t>
        </is>
      </c>
      <c r="E51" s="39" t="inlineStr">
        <is>
          <t>Pastor Distrital</t>
        </is>
      </c>
      <c r="F51" s="24" t="inlineStr">
        <is>
          <t>923697772</t>
        </is>
      </c>
      <c r="G51" s="40" t="n">
        <v>4.45</v>
      </c>
      <c r="H51" s="40" t="n">
        <v>4.5</v>
      </c>
      <c r="I51" s="40" t="n">
        <v>4.4</v>
      </c>
      <c r="J51" s="40" t="n">
        <v>4.55</v>
      </c>
      <c r="K51" s="40" t="n">
        <v>4.45</v>
      </c>
      <c r="L51" s="27">
        <f>ROUND((G51*11 + H51*11 + I51*5 + J51*8 + K51*16), 0)</f>
        <v/>
      </c>
      <c r="M51" s="25">
        <f>ROUND(AVERAGE(G51:K51), 2)</f>
        <v/>
      </c>
      <c r="N51" s="11">
        <f>IF(M51&gt;=4.5,"Excelente (E)", IF(M51&gt;=3.5,"Muito Bom (MB)", IF(M51&gt;=2.5,"Bom (B)", IF(M51&gt;=1.5,"Regular (R)","Deficiente (D)"))))</f>
        <v/>
      </c>
      <c r="O51" s="29" t="inlineStr">
        <is>
          <t>Concluído</t>
        </is>
      </c>
    </row>
    <row r="52" ht="20" customHeight="1">
      <c r="A52" s="18" t="n">
        <v>47</v>
      </c>
      <c r="B52" s="37" t="inlineStr">
        <is>
          <t>Pr. Nelito Manuel Jaime</t>
        </is>
      </c>
      <c r="C52" s="37" t="inlineStr">
        <is>
          <t>Jubilado</t>
        </is>
      </c>
      <c r="D52" s="18" t="inlineStr">
        <is>
          <t>Huambo</t>
        </is>
      </c>
      <c r="E52" s="37" t="inlineStr">
        <is>
          <t>Pastor Jubilado</t>
        </is>
      </c>
      <c r="F52" s="18" t="inlineStr">
        <is>
          <t>926744469</t>
        </is>
      </c>
      <c r="G52" s="38" t="n">
        <v>4.5</v>
      </c>
      <c r="H52" s="38" t="n">
        <v>4.5</v>
      </c>
      <c r="I52" s="38" t="n">
        <v>4.5</v>
      </c>
      <c r="J52" s="38" t="n">
        <v>4.5</v>
      </c>
      <c r="K52" s="38" t="n">
        <v>4.5</v>
      </c>
      <c r="L52" s="21">
        <f>ROUND((G52*11 + H52*11 + I52*5 + J52*8 + K52*16), 0)</f>
        <v/>
      </c>
      <c r="M52" s="19">
        <f>ROUND(AVERAGE(G52:K52), 2)</f>
        <v/>
      </c>
      <c r="N52" s="11">
        <f>IF(M52&gt;=4.5,"Excelente (E)", IF(M52&gt;=3.5,"Muito Bom (MB)", IF(M52&gt;=2.5,"Bom (B)", IF(M52&gt;=1.5,"Regular (R)","Deficiente (D)"))))</f>
        <v/>
      </c>
      <c r="O52" s="28" t="inlineStr">
        <is>
          <t>Concluído</t>
        </is>
      </c>
    </row>
    <row r="53" ht="20" customHeight="1">
      <c r="A53" s="24" t="n">
        <v>48</v>
      </c>
      <c r="B53" s="39" t="inlineStr">
        <is>
          <t>Pr. Justino Paulo</t>
        </is>
      </c>
      <c r="C53" s="39" t="inlineStr">
        <is>
          <t>Jubilado</t>
        </is>
      </c>
      <c r="D53" s="24" t="inlineStr">
        <is>
          <t>Huambo</t>
        </is>
      </c>
      <c r="E53" s="39" t="inlineStr">
        <is>
          <t>Pastor Jubilado</t>
        </is>
      </c>
      <c r="F53" s="24" t="inlineStr">
        <is>
          <t>923255252</t>
        </is>
      </c>
      <c r="G53" s="40" t="n">
        <v>4.5</v>
      </c>
      <c r="H53" s="40" t="n">
        <v>4.5</v>
      </c>
      <c r="I53" s="40" t="n">
        <v>4.5</v>
      </c>
      <c r="J53" s="40" t="n">
        <v>4.5</v>
      </c>
      <c r="K53" s="40" t="n">
        <v>4.5</v>
      </c>
      <c r="L53" s="27">
        <f>ROUND((G53*11 + H53*11 + I53*5 + J53*8 + K53*16), 0)</f>
        <v/>
      </c>
      <c r="M53" s="25">
        <f>ROUND(AVERAGE(G53:K53), 2)</f>
        <v/>
      </c>
      <c r="N53" s="11">
        <f>IF(M53&gt;=4.5,"Excelente (E)", IF(M53&gt;=3.5,"Muito Bom (MB)", IF(M53&gt;=2.5,"Bom (B)", IF(M53&gt;=1.5,"Regular (R)","Deficiente (D)"))))</f>
        <v/>
      </c>
      <c r="O53" s="29" t="inlineStr">
        <is>
          <t>Concluído</t>
        </is>
      </c>
    </row>
    <row r="54" ht="20" customHeight="1">
      <c r="A54" s="18" t="n">
        <v>49</v>
      </c>
      <c r="B54" s="37" t="inlineStr">
        <is>
          <t>Pr. José Pereira Lemos</t>
        </is>
      </c>
      <c r="C54" s="37" t="inlineStr">
        <is>
          <t>Jubilado</t>
        </is>
      </c>
      <c r="D54" s="18" t="inlineStr">
        <is>
          <t>Huambo</t>
        </is>
      </c>
      <c r="E54" s="37" t="inlineStr">
        <is>
          <t>Pastor Jubilado</t>
        </is>
      </c>
      <c r="F54" s="18" t="inlineStr">
        <is>
          <t>922159498</t>
        </is>
      </c>
      <c r="G54" s="38" t="n">
        <v>4.5</v>
      </c>
      <c r="H54" s="38" t="n">
        <v>4.5</v>
      </c>
      <c r="I54" s="38" t="n">
        <v>4.5</v>
      </c>
      <c r="J54" s="38" t="n">
        <v>4.5</v>
      </c>
      <c r="K54" s="38" t="n">
        <v>4.5</v>
      </c>
      <c r="L54" s="21">
        <f>ROUND((G54*11 + H54*11 + I54*5 + J54*8 + K54*16), 0)</f>
        <v/>
      </c>
      <c r="M54" s="19">
        <f>ROUND(AVERAGE(G54:K54), 2)</f>
        <v/>
      </c>
      <c r="N54" s="11">
        <f>IF(M54&gt;=4.5,"Excelente (E)", IF(M54&gt;=3.5,"Muito Bom (MB)", IF(M54&gt;=2.5,"Bom (B)", IF(M54&gt;=1.5,"Regular (R)","Deficiente (D)"))))</f>
        <v/>
      </c>
      <c r="O54" s="28" t="inlineStr">
        <is>
          <t>Concluído</t>
        </is>
      </c>
    </row>
    <row r="55" ht="20" customHeight="1">
      <c r="A55" s="24" t="n">
        <v>50</v>
      </c>
      <c r="B55" s="39" t="inlineStr">
        <is>
          <t>Pr. Amadeu Cassoma</t>
        </is>
      </c>
      <c r="C55" s="39" t="inlineStr">
        <is>
          <t>Jubilado</t>
        </is>
      </c>
      <c r="D55" s="24" t="inlineStr">
        <is>
          <t>Huambo</t>
        </is>
      </c>
      <c r="E55" s="39" t="inlineStr">
        <is>
          <t>Pastor Jubilado</t>
        </is>
      </c>
      <c r="F55" s="24" t="inlineStr">
        <is>
          <t>928594271</t>
        </is>
      </c>
      <c r="G55" s="40" t="n">
        <v>4.5</v>
      </c>
      <c r="H55" s="40" t="n">
        <v>4.5</v>
      </c>
      <c r="I55" s="40" t="n">
        <v>4.5</v>
      </c>
      <c r="J55" s="40" t="n">
        <v>4.5</v>
      </c>
      <c r="K55" s="40" t="n">
        <v>4.5</v>
      </c>
      <c r="L55" s="27">
        <f>ROUND((G55*11 + H55*11 + I55*5 + J55*8 + K55*16), 0)</f>
        <v/>
      </c>
      <c r="M55" s="25">
        <f>ROUND(AVERAGE(G55:K55), 2)</f>
        <v/>
      </c>
      <c r="N55" s="11">
        <f>IF(M55&gt;=4.5,"Excelente (E)", IF(M55&gt;=3.5,"Muito Bom (MB)", IF(M55&gt;=2.5,"Bom (B)", IF(M55&gt;=1.5,"Regular (R)","Deficiente (D)"))))</f>
        <v/>
      </c>
      <c r="O55" s="29" t="inlineStr">
        <is>
          <t>Concluído</t>
        </is>
      </c>
    </row>
    <row r="56" ht="20" customHeight="1">
      <c r="A56" s="18" t="n">
        <v>51</v>
      </c>
      <c r="B56" s="37" t="inlineStr">
        <is>
          <t>Pr. Ambrósio Cangongo</t>
        </is>
      </c>
      <c r="C56" s="37" t="inlineStr">
        <is>
          <t>Jubilado</t>
        </is>
      </c>
      <c r="D56" s="18" t="inlineStr">
        <is>
          <t>Huambo</t>
        </is>
      </c>
      <c r="E56" s="37" t="inlineStr">
        <is>
          <t>Pastor Jubilado</t>
        </is>
      </c>
      <c r="F56" s="18" t="inlineStr">
        <is>
          <t>927005586</t>
        </is>
      </c>
      <c r="G56" s="38" t="n">
        <v>4.5</v>
      </c>
      <c r="H56" s="38" t="n">
        <v>4.5</v>
      </c>
      <c r="I56" s="38" t="n">
        <v>4.5</v>
      </c>
      <c r="J56" s="38" t="n">
        <v>4.5</v>
      </c>
      <c r="K56" s="38" t="n">
        <v>4.5</v>
      </c>
      <c r="L56" s="21">
        <f>ROUND((G56*11 + H56*11 + I56*5 + J56*8 + K56*16), 0)</f>
        <v/>
      </c>
      <c r="M56" s="19">
        <f>ROUND(AVERAGE(G56:K56), 2)</f>
        <v/>
      </c>
      <c r="N56" s="11">
        <f>IF(M56&gt;=4.5,"Excelente (E)", IF(M56&gt;=3.5,"Muito Bom (MB)", IF(M56&gt;=2.5,"Bom (B)", IF(M56&gt;=1.5,"Regular (R)","Deficiente (D)"))))</f>
        <v/>
      </c>
      <c r="O56" s="28" t="inlineStr">
        <is>
          <t>Concluído</t>
        </is>
      </c>
    </row>
    <row r="57" ht="20" customHeight="1">
      <c r="A57" s="24" t="n">
        <v>52</v>
      </c>
      <c r="B57" s="39" t="inlineStr">
        <is>
          <t>Pr. António Mário</t>
        </is>
      </c>
      <c r="C57" s="39" t="inlineStr">
        <is>
          <t>Jubilado</t>
        </is>
      </c>
      <c r="D57" s="24" t="inlineStr">
        <is>
          <t>Huambo</t>
        </is>
      </c>
      <c r="E57" s="39" t="inlineStr">
        <is>
          <t>Pastor Jubilado</t>
        </is>
      </c>
      <c r="F57" s="24" t="inlineStr">
        <is>
          <t>929269515</t>
        </is>
      </c>
      <c r="G57" s="40" t="n">
        <v>4.5</v>
      </c>
      <c r="H57" s="40" t="n">
        <v>4.5</v>
      </c>
      <c r="I57" s="40" t="n">
        <v>4.5</v>
      </c>
      <c r="J57" s="40" t="n">
        <v>4.5</v>
      </c>
      <c r="K57" s="40" t="n">
        <v>4.5</v>
      </c>
      <c r="L57" s="27">
        <f>ROUND((G57*11 + H57*11 + I57*5 + J57*8 + K57*16), 0)</f>
        <v/>
      </c>
      <c r="M57" s="25">
        <f>ROUND(AVERAGE(G57:K57), 2)</f>
        <v/>
      </c>
      <c r="N57" s="11">
        <f>IF(M57&gt;=4.5,"Excelente (E)", IF(M57&gt;=3.5,"Muito Bom (MB)", IF(M57&gt;=2.5,"Bom (B)", IF(M57&gt;=1.5,"Regular (R)","Deficiente (D)"))))</f>
        <v/>
      </c>
      <c r="O57" s="29" t="inlineStr">
        <is>
          <t>Concluído</t>
        </is>
      </c>
    </row>
    <row r="58" ht="20" customHeight="1">
      <c r="A58" s="18" t="n">
        <v>53</v>
      </c>
      <c r="B58" s="37" t="inlineStr">
        <is>
          <t>Pr. Baptista Mateus</t>
        </is>
      </c>
      <c r="C58" s="37" t="inlineStr">
        <is>
          <t>Jubilado</t>
        </is>
      </c>
      <c r="D58" s="18" t="inlineStr">
        <is>
          <t>Huambo</t>
        </is>
      </c>
      <c r="E58" s="37" t="inlineStr">
        <is>
          <t>Pastor Jubilado</t>
        </is>
      </c>
      <c r="F58" s="18" t="inlineStr">
        <is>
          <t>931250756</t>
        </is>
      </c>
      <c r="G58" s="38" t="n">
        <v>4.5</v>
      </c>
      <c r="H58" s="38" t="n">
        <v>4.5</v>
      </c>
      <c r="I58" s="38" t="n">
        <v>4.5</v>
      </c>
      <c r="J58" s="38" t="n">
        <v>4.5</v>
      </c>
      <c r="K58" s="38" t="n">
        <v>4.5</v>
      </c>
      <c r="L58" s="21">
        <f>ROUND((G58*11 + H58*11 + I58*5 + J58*8 + K58*16), 0)</f>
        <v/>
      </c>
      <c r="M58" s="19">
        <f>ROUND(AVERAGE(G58:K58), 2)</f>
        <v/>
      </c>
      <c r="N58" s="11">
        <f>IF(M58&gt;=4.5,"Excelente (E)", IF(M58&gt;=3.5,"Muito Bom (MB)", IF(M58&gt;=2.5,"Bom (B)", IF(M58&gt;=1.5,"Regular (R)","Deficiente (D)"))))</f>
        <v/>
      </c>
      <c r="O58" s="28" t="inlineStr">
        <is>
          <t>Concluído</t>
        </is>
      </c>
    </row>
    <row r="59" ht="20" customHeight="1">
      <c r="A59" s="24" t="n">
        <v>54</v>
      </c>
      <c r="B59" s="39" t="inlineStr">
        <is>
          <t>Pr. Gregório Henriques</t>
        </is>
      </c>
      <c r="C59" s="39" t="inlineStr">
        <is>
          <t>Kamacupa</t>
        </is>
      </c>
      <c r="D59" s="24" t="inlineStr">
        <is>
          <t>Bié</t>
        </is>
      </c>
      <c r="E59" s="39" t="inlineStr">
        <is>
          <t>Pastor Distrital</t>
        </is>
      </c>
      <c r="F59" s="24" t="inlineStr">
        <is>
          <t>927467684</t>
        </is>
      </c>
      <c r="G59" s="40" t="n">
        <v>4.4</v>
      </c>
      <c r="H59" s="40" t="n">
        <v>4.45</v>
      </c>
      <c r="I59" s="40" t="n">
        <v>4.35</v>
      </c>
      <c r="J59" s="40" t="n">
        <v>4.5</v>
      </c>
      <c r="K59" s="40" t="n">
        <v>4.4</v>
      </c>
      <c r="L59" s="27">
        <f>ROUND((G59*11 + H59*11 + I59*5 + J59*8 + K59*16), 0)</f>
        <v/>
      </c>
      <c r="M59" s="25">
        <f>ROUND(AVERAGE(G59:K59), 2)</f>
        <v/>
      </c>
      <c r="N59" s="11">
        <f>IF(M59&gt;=4.5,"Excelente (E)", IF(M59&gt;=3.5,"Muito Bom (MB)", IF(M59&gt;=2.5,"Bom (B)", IF(M59&gt;=1.5,"Regular (R)","Deficiente (D)"))))</f>
        <v/>
      </c>
      <c r="O59" s="29" t="inlineStr">
        <is>
          <t>Concluído</t>
        </is>
      </c>
    </row>
    <row r="60" ht="20" customHeight="1">
      <c r="A60" s="18" t="n">
        <v>55</v>
      </c>
      <c r="B60" s="37" t="inlineStr">
        <is>
          <t>Pr. Madureira Chiwissi</t>
        </is>
      </c>
      <c r="C60" s="37" t="inlineStr">
        <is>
          <t>Kamunda</t>
        </is>
      </c>
      <c r="D60" s="18" t="inlineStr">
        <is>
          <t>Huambo</t>
        </is>
      </c>
      <c r="E60" s="37" t="inlineStr">
        <is>
          <t>Pastor Distrital</t>
        </is>
      </c>
      <c r="F60" s="18" t="inlineStr">
        <is>
          <t>931870202</t>
        </is>
      </c>
      <c r="G60" s="38" t="n">
        <v>4.55</v>
      </c>
      <c r="H60" s="38" t="n">
        <v>4.6</v>
      </c>
      <c r="I60" s="38" t="n">
        <v>4.5</v>
      </c>
      <c r="J60" s="38" t="n">
        <v>4.65</v>
      </c>
      <c r="K60" s="38" t="n">
        <v>4.55</v>
      </c>
      <c r="L60" s="21">
        <f>ROUND((G60*11 + H60*11 + I60*5 + J60*8 + K60*16), 0)</f>
        <v/>
      </c>
      <c r="M60" s="19">
        <f>ROUND(AVERAGE(G60:K60), 2)</f>
        <v/>
      </c>
      <c r="N60" s="11">
        <f>IF(M60&gt;=4.5,"Excelente (E)", IF(M60&gt;=3.5,"Muito Bom (MB)", IF(M60&gt;=2.5,"Bom (B)", IF(M60&gt;=1.5,"Regular (R)","Deficiente (D)"))))</f>
        <v/>
      </c>
      <c r="O60" s="28" t="inlineStr">
        <is>
          <t>Concluído</t>
        </is>
      </c>
    </row>
    <row r="61" ht="20" customHeight="1">
      <c r="A61" s="24" t="n">
        <v>56</v>
      </c>
      <c r="B61" s="39" t="inlineStr">
        <is>
          <t>Pr. Pedro César</t>
        </is>
      </c>
      <c r="C61" s="39" t="inlineStr">
        <is>
          <t>Kapa</t>
        </is>
      </c>
      <c r="D61" s="24" t="inlineStr">
        <is>
          <t>Huambo</t>
        </is>
      </c>
      <c r="E61" s="39" t="inlineStr">
        <is>
          <t>Pastor Distrital</t>
        </is>
      </c>
      <c r="F61" s="24" t="inlineStr">
        <is>
          <t>926103500</t>
        </is>
      </c>
      <c r="G61" s="40" t="n">
        <v>4.35</v>
      </c>
      <c r="H61" s="40" t="n">
        <v>4.4</v>
      </c>
      <c r="I61" s="40" t="n">
        <v>4.3</v>
      </c>
      <c r="J61" s="40" t="n">
        <v>4.45</v>
      </c>
      <c r="K61" s="40" t="n">
        <v>4.35</v>
      </c>
      <c r="L61" s="27">
        <f>ROUND((G61*11 + H61*11 + I61*5 + J61*8 + K61*16), 0)</f>
        <v/>
      </c>
      <c r="M61" s="25">
        <f>ROUND(AVERAGE(G61:K61), 2)</f>
        <v/>
      </c>
      <c r="N61" s="11">
        <f>IF(M61&gt;=4.5,"Excelente (E)", IF(M61&gt;=3.5,"Muito Bom (MB)", IF(M61&gt;=2.5,"Bom (B)", IF(M61&gt;=1.5,"Regular (R)","Deficiente (D)"))))</f>
        <v/>
      </c>
      <c r="O61" s="29" t="inlineStr">
        <is>
          <t>Concluído</t>
        </is>
      </c>
    </row>
    <row r="62" ht="20" customHeight="1">
      <c r="A62" s="18" t="n">
        <v>57</v>
      </c>
      <c r="B62" s="37" t="inlineStr">
        <is>
          <t>Pr. Praia Ernesto</t>
        </is>
      </c>
      <c r="C62" s="37" t="inlineStr">
        <is>
          <t>Kapango</t>
        </is>
      </c>
      <c r="D62" s="18" t="inlineStr">
        <is>
          <t>Huambo</t>
        </is>
      </c>
      <c r="E62" s="37" t="inlineStr">
        <is>
          <t>Pastor Distrital</t>
        </is>
      </c>
      <c r="F62" s="18" t="inlineStr">
        <is>
          <t>927073687</t>
        </is>
      </c>
      <c r="G62" s="38" t="n">
        <v>4.45</v>
      </c>
      <c r="H62" s="38" t="n">
        <v>4.5</v>
      </c>
      <c r="I62" s="38" t="n">
        <v>4.4</v>
      </c>
      <c r="J62" s="38" t="n">
        <v>4.55</v>
      </c>
      <c r="K62" s="38" t="n">
        <v>4.45</v>
      </c>
      <c r="L62" s="21">
        <f>ROUND((G62*11 + H62*11 + I62*5 + J62*8 + K62*16), 0)</f>
        <v/>
      </c>
      <c r="M62" s="19">
        <f>ROUND(AVERAGE(G62:K62), 2)</f>
        <v/>
      </c>
      <c r="N62" s="11">
        <f>IF(M62&gt;=4.5,"Excelente (E)", IF(M62&gt;=3.5,"Muito Bom (MB)", IF(M62&gt;=2.5,"Bom (B)", IF(M62&gt;=1.5,"Regular (R)","Deficiente (D)"))))</f>
        <v/>
      </c>
      <c r="O62" s="28" t="inlineStr">
        <is>
          <t>Concluído</t>
        </is>
      </c>
    </row>
    <row r="63" ht="20" customHeight="1">
      <c r="A63" s="24" t="n">
        <v>58</v>
      </c>
      <c r="B63" s="39" t="inlineStr">
        <is>
          <t>Pr. Roberto Belarmino</t>
        </is>
      </c>
      <c r="C63" s="39" t="inlineStr">
        <is>
          <t>Kassupi - Caála</t>
        </is>
      </c>
      <c r="D63" s="24" t="inlineStr">
        <is>
          <t>Huambo</t>
        </is>
      </c>
      <c r="E63" s="39" t="inlineStr">
        <is>
          <t>Pastor Distrital</t>
        </is>
      </c>
      <c r="F63" s="24" t="inlineStr">
        <is>
          <t>925472022</t>
        </is>
      </c>
      <c r="G63" s="40" t="n">
        <v>4.4</v>
      </c>
      <c r="H63" s="40" t="n">
        <v>4.45</v>
      </c>
      <c r="I63" s="40" t="n">
        <v>4.35</v>
      </c>
      <c r="J63" s="40" t="n">
        <v>4.5</v>
      </c>
      <c r="K63" s="40" t="n">
        <v>4.4</v>
      </c>
      <c r="L63" s="27">
        <f>ROUND((G63*11 + H63*11 + I63*5 + J63*8 + K63*16), 0)</f>
        <v/>
      </c>
      <c r="M63" s="25">
        <f>ROUND(AVERAGE(G63:K63), 2)</f>
        <v/>
      </c>
      <c r="N63" s="11">
        <f>IF(M63&gt;=4.5,"Excelente (E)", IF(M63&gt;=3.5,"Muito Bom (MB)", IF(M63&gt;=2.5,"Bom (B)", IF(M63&gt;=1.5,"Regular (R)","Deficiente (D)"))))</f>
        <v/>
      </c>
      <c r="O63" s="29" t="inlineStr">
        <is>
          <t>Concluído</t>
        </is>
      </c>
    </row>
    <row r="64" ht="20" customHeight="1">
      <c r="A64" s="18" t="n">
        <v>59</v>
      </c>
      <c r="B64" s="37" t="inlineStr">
        <is>
          <t>Pr. Sebastião João</t>
        </is>
      </c>
      <c r="C64" s="37" t="inlineStr">
        <is>
          <t>Kavongue</t>
        </is>
      </c>
      <c r="D64" s="18" t="inlineStr">
        <is>
          <t>Huambo</t>
        </is>
      </c>
      <c r="E64" s="37" t="inlineStr">
        <is>
          <t>Pastor Distrital</t>
        </is>
      </c>
      <c r="F64" s="18" t="inlineStr">
        <is>
          <t>941517273</t>
        </is>
      </c>
      <c r="G64" s="38" t="n">
        <v>4.5</v>
      </c>
      <c r="H64" s="38" t="n">
        <v>4.55</v>
      </c>
      <c r="I64" s="38" t="n">
        <v>4.45</v>
      </c>
      <c r="J64" s="38" t="n">
        <v>4.6</v>
      </c>
      <c r="K64" s="38" t="n">
        <v>4.5</v>
      </c>
      <c r="L64" s="21">
        <f>ROUND((G64*11 + H64*11 + I64*5 + J64*8 + K64*16), 0)</f>
        <v/>
      </c>
      <c r="M64" s="19">
        <f>ROUND(AVERAGE(G64:K64), 2)</f>
        <v/>
      </c>
      <c r="N64" s="11">
        <f>IF(M64&gt;=4.5,"Excelente (E)", IF(M64&gt;=3.5,"Muito Bom (MB)", IF(M64&gt;=2.5,"Bom (B)", IF(M64&gt;=1.5,"Regular (R)","Deficiente (D)"))))</f>
        <v/>
      </c>
      <c r="O64" s="28" t="inlineStr">
        <is>
          <t>Concluído</t>
        </is>
      </c>
    </row>
    <row r="65" ht="20" customHeight="1">
      <c r="A65" s="24" t="n">
        <v>60</v>
      </c>
      <c r="B65" s="39" t="inlineStr">
        <is>
          <t>Pr. Tomás Morais Américo</t>
        </is>
      </c>
      <c r="C65" s="39" t="inlineStr">
        <is>
          <t>Km25- Caála</t>
        </is>
      </c>
      <c r="D65" s="24" t="inlineStr">
        <is>
          <t>Huambo</t>
        </is>
      </c>
      <c r="E65" s="39" t="inlineStr">
        <is>
          <t>Pastor Distrital</t>
        </is>
      </c>
      <c r="F65" s="24" t="inlineStr">
        <is>
          <t>923758172</t>
        </is>
      </c>
      <c r="G65" s="40" t="n">
        <v>4.45</v>
      </c>
      <c r="H65" s="40" t="n">
        <v>4.5</v>
      </c>
      <c r="I65" s="40" t="n">
        <v>4.4</v>
      </c>
      <c r="J65" s="40" t="n">
        <v>4.55</v>
      </c>
      <c r="K65" s="40" t="n">
        <v>4.45</v>
      </c>
      <c r="L65" s="27">
        <f>ROUND((G65*11 + H65*11 + I65*5 + J65*8 + K65*16), 0)</f>
        <v/>
      </c>
      <c r="M65" s="25">
        <f>ROUND(AVERAGE(G65:K65), 2)</f>
        <v/>
      </c>
      <c r="N65" s="11">
        <f>IF(M65&gt;=4.5,"Excelente (E)", IF(M65&gt;=3.5,"Muito Bom (MB)", IF(M65&gt;=2.5,"Bom (B)", IF(M65&gt;=1.5,"Regular (R)","Deficiente (D)"))))</f>
        <v/>
      </c>
      <c r="O65" s="29" t="inlineStr">
        <is>
          <t>Concluído</t>
        </is>
      </c>
    </row>
    <row r="66" ht="20" customHeight="1">
      <c r="A66" s="18" t="n">
        <v>61</v>
      </c>
      <c r="B66" s="37" t="inlineStr">
        <is>
          <t>Pr. Francisco Fela</t>
        </is>
      </c>
      <c r="C66" s="37" t="inlineStr">
        <is>
          <t>Kunje</t>
        </is>
      </c>
      <c r="D66" s="18" t="inlineStr">
        <is>
          <t>Bié</t>
        </is>
      </c>
      <c r="E66" s="37" t="inlineStr">
        <is>
          <t>Pastor Distrital</t>
        </is>
      </c>
      <c r="F66" s="18" t="inlineStr">
        <is>
          <t>927198219</t>
        </is>
      </c>
      <c r="G66" s="38" t="n">
        <v>4.35</v>
      </c>
      <c r="H66" s="38" t="n">
        <v>4.4</v>
      </c>
      <c r="I66" s="38" t="n">
        <v>4.3</v>
      </c>
      <c r="J66" s="38" t="n">
        <v>4.45</v>
      </c>
      <c r="K66" s="38" t="n">
        <v>4.35</v>
      </c>
      <c r="L66" s="21">
        <f>ROUND((G66*11 + H66*11 + I66*5 + J66*8 + K66*16), 0)</f>
        <v/>
      </c>
      <c r="M66" s="19">
        <f>ROUND(AVERAGE(G66:K66), 2)</f>
        <v/>
      </c>
      <c r="N66" s="11">
        <f>IF(M66&gt;=4.5,"Excelente (E)", IF(M66&gt;=3.5,"Muito Bom (MB)", IF(M66&gt;=2.5,"Bom (B)", IF(M66&gt;=1.5,"Regular (R)","Deficiente (D)"))))</f>
        <v/>
      </c>
      <c r="O66" s="28" t="inlineStr">
        <is>
          <t>Concluído</t>
        </is>
      </c>
    </row>
    <row r="67" ht="20" customHeight="1">
      <c r="A67" s="24" t="n">
        <v>62</v>
      </c>
      <c r="B67" s="39" t="inlineStr">
        <is>
          <t>Pr. Orlando Canema</t>
        </is>
      </c>
      <c r="C67" s="39" t="inlineStr">
        <is>
          <t>Livraria</t>
        </is>
      </c>
      <c r="D67" s="24" t="inlineStr">
        <is>
          <t>Huambo</t>
        </is>
      </c>
      <c r="E67" s="39" t="inlineStr">
        <is>
          <t>Diretor de Livraria</t>
        </is>
      </c>
      <c r="F67" s="24" t="inlineStr">
        <is>
          <t>924252136</t>
        </is>
      </c>
      <c r="G67" s="40" t="n">
        <v>4.6</v>
      </c>
      <c r="H67" s="40" t="n">
        <v>4.65</v>
      </c>
      <c r="I67" s="40" t="n">
        <v>4.55</v>
      </c>
      <c r="J67" s="40" t="n">
        <v>4.7</v>
      </c>
      <c r="K67" s="40" t="n">
        <v>4.6</v>
      </c>
      <c r="L67" s="27">
        <f>ROUND((G67*11 + H67*11 + I67*5 + J67*8 + K67*16), 0)</f>
        <v/>
      </c>
      <c r="M67" s="25">
        <f>ROUND(AVERAGE(G67:K67), 2)</f>
        <v/>
      </c>
      <c r="N67" s="11">
        <f>IF(M67&gt;=4.5,"Excelente (E)", IF(M67&gt;=3.5,"Muito Bom (MB)", IF(M67&gt;=2.5,"Bom (B)", IF(M67&gt;=1.5,"Regular (R)","Deficiente (D)"))))</f>
        <v/>
      </c>
      <c r="O67" s="29" t="inlineStr">
        <is>
          <t>Concluído</t>
        </is>
      </c>
    </row>
    <row r="68" ht="20" customHeight="1">
      <c r="A68" s="18" t="n">
        <v>63</v>
      </c>
      <c r="B68" s="37" t="inlineStr">
        <is>
          <t>Pr. Vasco Arlindo Catengue</t>
        </is>
      </c>
      <c r="C68" s="37" t="inlineStr">
        <is>
          <t>Londuibali</t>
        </is>
      </c>
      <c r="D68" s="18" t="inlineStr">
        <is>
          <t>Huambo</t>
        </is>
      </c>
      <c r="E68" s="37" t="inlineStr">
        <is>
          <t>Pastor Distrital</t>
        </is>
      </c>
      <c r="F68" s="18" t="inlineStr">
        <is>
          <t>924409385</t>
        </is>
      </c>
      <c r="G68" s="38" t="n">
        <v>4.5</v>
      </c>
      <c r="H68" s="38" t="n">
        <v>4.55</v>
      </c>
      <c r="I68" s="38" t="n">
        <v>4.45</v>
      </c>
      <c r="J68" s="38" t="n">
        <v>4.6</v>
      </c>
      <c r="K68" s="38" t="n">
        <v>4.5</v>
      </c>
      <c r="L68" s="21">
        <f>ROUND((G68*11 + H68*11 + I68*5 + J68*8 + K68*16), 0)</f>
        <v/>
      </c>
      <c r="M68" s="19">
        <f>ROUND(AVERAGE(G68:K68), 2)</f>
        <v/>
      </c>
      <c r="N68" s="11">
        <f>IF(M68&gt;=4.5,"Excelente (E)", IF(M68&gt;=3.5,"Muito Bom (MB)", IF(M68&gt;=2.5,"Bom (B)", IF(M68&gt;=1.5,"Regular (R)","Deficiente (D)"))))</f>
        <v/>
      </c>
      <c r="O68" s="28" t="inlineStr">
        <is>
          <t>Concluído</t>
        </is>
      </c>
    </row>
    <row r="69" ht="20" customHeight="1">
      <c r="A69" s="24" t="n">
        <v>64</v>
      </c>
      <c r="B69" s="39" t="inlineStr">
        <is>
          <t>Pr. Silva Moisés Joaquim</t>
        </is>
      </c>
      <c r="C69" s="39" t="inlineStr">
        <is>
          <t>Longonjo</t>
        </is>
      </c>
      <c r="D69" s="24" t="inlineStr">
        <is>
          <t>Huambo</t>
        </is>
      </c>
      <c r="E69" s="39" t="inlineStr">
        <is>
          <t>Pastor Distrital</t>
        </is>
      </c>
      <c r="F69" s="24" t="inlineStr">
        <is>
          <t>928603176</t>
        </is>
      </c>
      <c r="G69" s="40" t="n">
        <v>4.55</v>
      </c>
      <c r="H69" s="40" t="n">
        <v>4.6</v>
      </c>
      <c r="I69" s="40" t="n">
        <v>4.5</v>
      </c>
      <c r="J69" s="40" t="n">
        <v>4.65</v>
      </c>
      <c r="K69" s="40" t="n">
        <v>4.55</v>
      </c>
      <c r="L69" s="27">
        <f>ROUND((G69*11 + H69*11 + I69*5 + J69*8 + K69*16), 0)</f>
        <v/>
      </c>
      <c r="M69" s="25">
        <f>ROUND(AVERAGE(G69:K69), 2)</f>
        <v/>
      </c>
      <c r="N69" s="11">
        <f>IF(M69&gt;=4.5,"Excelente (E)", IF(M69&gt;=3.5,"Muito Bom (MB)", IF(M69&gt;=2.5,"Bom (B)", IF(M69&gt;=1.5,"Regular (R)","Deficiente (D)"))))</f>
        <v/>
      </c>
      <c r="O69" s="29" t="inlineStr">
        <is>
          <t>Concluído</t>
        </is>
      </c>
    </row>
    <row r="70" ht="20" customHeight="1">
      <c r="A70" s="18" t="n">
        <v>65</v>
      </c>
      <c r="B70" s="37" t="inlineStr">
        <is>
          <t>Pr. Tiago de Jesus Faria</t>
        </is>
      </c>
      <c r="C70" s="37" t="inlineStr">
        <is>
          <t>Lufefena</t>
        </is>
      </c>
      <c r="D70" s="18" t="inlineStr">
        <is>
          <t>Huambo</t>
        </is>
      </c>
      <c r="E70" s="37" t="inlineStr">
        <is>
          <t>Pastor Distrital</t>
        </is>
      </c>
      <c r="F70" s="18" t="inlineStr">
        <is>
          <t>940323275</t>
        </is>
      </c>
      <c r="G70" s="38" t="n">
        <v>4.45</v>
      </c>
      <c r="H70" s="38" t="n">
        <v>4.5</v>
      </c>
      <c r="I70" s="38" t="n">
        <v>4.4</v>
      </c>
      <c r="J70" s="38" t="n">
        <v>4.55</v>
      </c>
      <c r="K70" s="38" t="n">
        <v>4.45</v>
      </c>
      <c r="L70" s="21">
        <f>ROUND((G70*11 + H70*11 + I70*5 + J70*8 + K70*16), 0)</f>
        <v/>
      </c>
      <c r="M70" s="19">
        <f>ROUND(AVERAGE(G70:K70), 2)</f>
        <v/>
      </c>
      <c r="N70" s="11">
        <f>IF(M70&gt;=4.5,"Excelente (E)", IF(M70&gt;=3.5,"Muito Bom (MB)", IF(M70&gt;=2.5,"Bom (B)", IF(M70&gt;=1.5,"Regular (R)","Deficiente (D)"))))</f>
        <v/>
      </c>
      <c r="O70" s="28" t="inlineStr">
        <is>
          <t>Concluído</t>
        </is>
      </c>
    </row>
    <row r="71" ht="20" customHeight="1">
      <c r="A71" s="24" t="n">
        <v>66</v>
      </c>
      <c r="B71" s="39" t="inlineStr">
        <is>
          <t>Pr. Armando K. Gabriel</t>
        </is>
      </c>
      <c r="C71" s="39" t="inlineStr">
        <is>
          <t>Manancial - Caála</t>
        </is>
      </c>
      <c r="D71" s="24" t="inlineStr">
        <is>
          <t>Huambo</t>
        </is>
      </c>
      <c r="E71" s="39" t="inlineStr">
        <is>
          <t>Pastor Distrital</t>
        </is>
      </c>
      <c r="F71" s="24" t="inlineStr">
        <is>
          <t>916027071</t>
        </is>
      </c>
      <c r="G71" s="40" t="n">
        <v>4.5</v>
      </c>
      <c r="H71" s="40" t="n">
        <v>4.55</v>
      </c>
      <c r="I71" s="40" t="n">
        <v>4.45</v>
      </c>
      <c r="J71" s="40" t="n">
        <v>4.6</v>
      </c>
      <c r="K71" s="40" t="n">
        <v>4.5</v>
      </c>
      <c r="L71" s="27">
        <f>ROUND((G71*11 + H71*11 + I71*5 + J71*8 + K71*16), 0)</f>
        <v/>
      </c>
      <c r="M71" s="25">
        <f>ROUND(AVERAGE(G71:K71), 2)</f>
        <v/>
      </c>
      <c r="N71" s="11">
        <f>IF(M71&gt;=4.5,"Excelente (E)", IF(M71&gt;=3.5,"Muito Bom (MB)", IF(M71&gt;=2.5,"Bom (B)", IF(M71&gt;=1.5,"Regular (R)","Deficiente (D)"))))</f>
        <v/>
      </c>
      <c r="O71" s="29" t="inlineStr">
        <is>
          <t>Concluído</t>
        </is>
      </c>
    </row>
    <row r="72" ht="20" customHeight="1">
      <c r="A72" s="18" t="n">
        <v>67</v>
      </c>
      <c r="B72" s="37" t="inlineStr">
        <is>
          <t>Pr. Isaías Guilherme Mário</t>
        </is>
      </c>
      <c r="C72" s="37" t="inlineStr">
        <is>
          <t>Mavinga</t>
        </is>
      </c>
      <c r="D72" s="18" t="inlineStr">
        <is>
          <t>Quando</t>
        </is>
      </c>
      <c r="E72" s="37" t="inlineStr">
        <is>
          <t>Pastor Distrital</t>
        </is>
      </c>
      <c r="F72" s="18" t="inlineStr">
        <is>
          <t>923954831</t>
        </is>
      </c>
      <c r="G72" s="38" t="n">
        <v>4.3</v>
      </c>
      <c r="H72" s="38" t="n">
        <v>4.35</v>
      </c>
      <c r="I72" s="38" t="n">
        <v>4.25</v>
      </c>
      <c r="J72" s="38" t="n">
        <v>4.4</v>
      </c>
      <c r="K72" s="38" t="n">
        <v>4.3</v>
      </c>
      <c r="L72" s="21">
        <f>ROUND((G72*11 + H72*11 + I72*5 + J72*8 + K72*16), 0)</f>
        <v/>
      </c>
      <c r="M72" s="19">
        <f>ROUND(AVERAGE(G72:K72), 2)</f>
        <v/>
      </c>
      <c r="N72" s="11">
        <f>IF(M72&gt;=4.5,"Excelente (E)", IF(M72&gt;=3.5,"Muito Bom (MB)", IF(M72&gt;=2.5,"Bom (B)", IF(M72&gt;=1.5,"Regular (R)","Deficiente (D)"))))</f>
        <v/>
      </c>
      <c r="O72" s="28" t="inlineStr">
        <is>
          <t>Concluído</t>
        </is>
      </c>
    </row>
    <row r="73" ht="20" customHeight="1">
      <c r="A73" s="24" t="n">
        <v>68</v>
      </c>
      <c r="B73" s="39" t="inlineStr">
        <is>
          <t>Pr. Adelino Josué Celino</t>
        </is>
      </c>
      <c r="C73" s="39" t="inlineStr">
        <is>
          <t>Missão Centro</t>
        </is>
      </c>
      <c r="D73" s="24" t="inlineStr">
        <is>
          <t>Huambo</t>
        </is>
      </c>
      <c r="E73" s="39" t="inlineStr">
        <is>
          <t>Pastor Departamental</t>
        </is>
      </c>
      <c r="F73" s="24" t="inlineStr">
        <is>
          <t>923428459</t>
        </is>
      </c>
      <c r="G73" s="40" t="n">
        <v>4.75</v>
      </c>
      <c r="H73" s="40" t="n">
        <v>4.8</v>
      </c>
      <c r="I73" s="40" t="n">
        <v>4.7</v>
      </c>
      <c r="J73" s="40" t="n">
        <v>4.85</v>
      </c>
      <c r="K73" s="40" t="n">
        <v>4.75</v>
      </c>
      <c r="L73" s="27">
        <f>ROUND((G73*11 + H73*11 + I73*5 + J73*8 + K73*16), 0)</f>
        <v/>
      </c>
      <c r="M73" s="25">
        <f>ROUND(AVERAGE(G73:K73), 2)</f>
        <v/>
      </c>
      <c r="N73" s="11">
        <f>IF(M73&gt;=4.5,"Excelente (E)", IF(M73&gt;=3.5,"Muito Bom (MB)", IF(M73&gt;=2.5,"Bom (B)", IF(M73&gt;=1.5,"Regular (R)","Deficiente (D)"))))</f>
        <v/>
      </c>
      <c r="O73" s="29" t="inlineStr">
        <is>
          <t>Concluído</t>
        </is>
      </c>
    </row>
    <row r="74" ht="20" customHeight="1">
      <c r="A74" s="18" t="n">
        <v>69</v>
      </c>
      <c r="B74" s="37" t="inlineStr">
        <is>
          <t>Pr. Salomão Yondjunju</t>
        </is>
      </c>
      <c r="C74" s="37" t="inlineStr">
        <is>
          <t>Missão Centro</t>
        </is>
      </c>
      <c r="D74" s="18" t="inlineStr">
        <is>
          <t>Huambo</t>
        </is>
      </c>
      <c r="E74" s="37" t="inlineStr">
        <is>
          <t>Pastor Departamental</t>
        </is>
      </c>
      <c r="F74" s="18" t="inlineStr">
        <is>
          <t>947000745</t>
        </is>
      </c>
      <c r="G74" s="38" t="n">
        <v>4.7</v>
      </c>
      <c r="H74" s="38" t="n">
        <v>4.75</v>
      </c>
      <c r="I74" s="38" t="n">
        <v>4.65</v>
      </c>
      <c r="J74" s="38" t="n">
        <v>4.8</v>
      </c>
      <c r="K74" s="38" t="n">
        <v>4.7</v>
      </c>
      <c r="L74" s="21">
        <f>ROUND((G74*11 + H74*11 + I74*5 + J74*8 + K74*16), 0)</f>
        <v/>
      </c>
      <c r="M74" s="19">
        <f>ROUND(AVERAGE(G74:K74), 2)</f>
        <v/>
      </c>
      <c r="N74" s="11">
        <f>IF(M74&gt;=4.5,"Excelente (E)", IF(M74&gt;=3.5,"Muito Bom (MB)", IF(M74&gt;=2.5,"Bom (B)", IF(M74&gt;=1.5,"Regular (R)","Deficiente (D)"))))</f>
        <v/>
      </c>
      <c r="O74" s="28" t="inlineStr">
        <is>
          <t>Concluído</t>
        </is>
      </c>
    </row>
    <row r="75" ht="20" customHeight="1">
      <c r="A75" s="24" t="n">
        <v>70</v>
      </c>
      <c r="B75" s="39" t="inlineStr">
        <is>
          <t>Pr. João Sangando</t>
        </is>
      </c>
      <c r="C75" s="39" t="inlineStr">
        <is>
          <t>Missão Centro</t>
        </is>
      </c>
      <c r="D75" s="24" t="inlineStr">
        <is>
          <t>Huambo</t>
        </is>
      </c>
      <c r="E75" s="39" t="inlineStr">
        <is>
          <t>Pastor Departamental</t>
        </is>
      </c>
      <c r="F75" s="24" t="inlineStr">
        <is>
          <t>927332598</t>
        </is>
      </c>
      <c r="G75" s="40" t="n">
        <v>4.65</v>
      </c>
      <c r="H75" s="40" t="n">
        <v>4.7</v>
      </c>
      <c r="I75" s="40" t="n">
        <v>4.6</v>
      </c>
      <c r="J75" s="40" t="n">
        <v>4.75</v>
      </c>
      <c r="K75" s="40" t="n">
        <v>4.65</v>
      </c>
      <c r="L75" s="27">
        <f>ROUND((G75*11 + H75*11 + I75*5 + J75*8 + K75*16), 0)</f>
        <v/>
      </c>
      <c r="M75" s="25">
        <f>ROUND(AVERAGE(G75:K75), 2)</f>
        <v/>
      </c>
      <c r="N75" s="11">
        <f>IF(M75&gt;=4.5,"Excelente (E)", IF(M75&gt;=3.5,"Muito Bom (MB)", IF(M75&gt;=2.5,"Bom (B)", IF(M75&gt;=1.5,"Regular (R)","Deficiente (D)"))))</f>
        <v/>
      </c>
      <c r="O75" s="29" t="inlineStr">
        <is>
          <t>Concluído</t>
        </is>
      </c>
    </row>
    <row r="76" ht="20" customHeight="1">
      <c r="A76" s="18" t="n">
        <v>71</v>
      </c>
      <c r="B76" s="37" t="inlineStr">
        <is>
          <t>Pr. Alcides Rodrigues</t>
        </is>
      </c>
      <c r="C76" s="37" t="inlineStr">
        <is>
          <t>Missão Centro</t>
        </is>
      </c>
      <c r="D76" s="18" t="inlineStr">
        <is>
          <t>Huambo</t>
        </is>
      </c>
      <c r="E76" s="37" t="inlineStr">
        <is>
          <t>Pastor Departamental</t>
        </is>
      </c>
      <c r="F76" s="18" t="inlineStr">
        <is>
          <t>933542931</t>
        </is>
      </c>
      <c r="G76" s="38" t="n">
        <v>4.6</v>
      </c>
      <c r="H76" s="38" t="n">
        <v>4.65</v>
      </c>
      <c r="I76" s="38" t="n">
        <v>4.55</v>
      </c>
      <c r="J76" s="38" t="n">
        <v>4.7</v>
      </c>
      <c r="K76" s="38" t="n">
        <v>4.6</v>
      </c>
      <c r="L76" s="21">
        <f>ROUND((G76*11 + H76*11 + I76*5 + J76*8 + K76*16), 0)</f>
        <v/>
      </c>
      <c r="M76" s="19">
        <f>ROUND(AVERAGE(G76:K76), 2)</f>
        <v/>
      </c>
      <c r="N76" s="11">
        <f>IF(M76&gt;=4.5,"Excelente (E)", IF(M76&gt;=3.5,"Muito Bom (MB)", IF(M76&gt;=2.5,"Bom (B)", IF(M76&gt;=1.5,"Regular (R)","Deficiente (D)"))))</f>
        <v/>
      </c>
      <c r="O76" s="28" t="inlineStr">
        <is>
          <t>Concluído</t>
        </is>
      </c>
    </row>
    <row r="77" ht="20" customHeight="1">
      <c r="A77" s="24" t="n">
        <v>72</v>
      </c>
      <c r="B77" s="39" t="inlineStr">
        <is>
          <t>Pr. Malaquias Pedro</t>
        </is>
      </c>
      <c r="C77" s="39" t="inlineStr">
        <is>
          <t>Missão Centro</t>
        </is>
      </c>
      <c r="D77" s="24" t="inlineStr">
        <is>
          <t>Huambo</t>
        </is>
      </c>
      <c r="E77" s="39" t="inlineStr">
        <is>
          <t>Pastor Departamental</t>
        </is>
      </c>
      <c r="F77" s="24" t="inlineStr">
        <is>
          <t>927800020</t>
        </is>
      </c>
      <c r="G77" s="40" t="n">
        <v>4.65</v>
      </c>
      <c r="H77" s="40" t="n">
        <v>4.7</v>
      </c>
      <c r="I77" s="40" t="n">
        <v>4.6</v>
      </c>
      <c r="J77" s="40" t="n">
        <v>4.75</v>
      </c>
      <c r="K77" s="40" t="n">
        <v>4.65</v>
      </c>
      <c r="L77" s="27">
        <f>ROUND((G77*11 + H77*11 + I77*5 + J77*8 + K77*16), 0)</f>
        <v/>
      </c>
      <c r="M77" s="25">
        <f>ROUND(AVERAGE(G77:K77), 2)</f>
        <v/>
      </c>
      <c r="N77" s="11">
        <f>IF(M77&gt;=4.5,"Excelente (E)", IF(M77&gt;=3.5,"Muito Bom (MB)", IF(M77&gt;=2.5,"Bom (B)", IF(M77&gt;=1.5,"Regular (R)","Deficiente (D)"))))</f>
        <v/>
      </c>
      <c r="O77" s="29" t="inlineStr">
        <is>
          <t>Concluído</t>
        </is>
      </c>
    </row>
    <row r="78" ht="20" customHeight="1">
      <c r="A78" s="18" t="n">
        <v>73</v>
      </c>
      <c r="B78" s="37" t="inlineStr">
        <is>
          <t>Pr. Samuel Mahamba</t>
        </is>
      </c>
      <c r="C78" s="37" t="inlineStr">
        <is>
          <t>Missão da Chicuma</t>
        </is>
      </c>
      <c r="D78" s="18" t="inlineStr">
        <is>
          <t>Bié</t>
        </is>
      </c>
      <c r="E78" s="37" t="inlineStr">
        <is>
          <t>Pastor Distrital</t>
        </is>
      </c>
      <c r="F78" s="18" t="inlineStr">
        <is>
          <t>923095656</t>
        </is>
      </c>
      <c r="G78" s="38" t="n">
        <v>4.5</v>
      </c>
      <c r="H78" s="38" t="n">
        <v>4.55</v>
      </c>
      <c r="I78" s="38" t="n">
        <v>4.45</v>
      </c>
      <c r="J78" s="38" t="n">
        <v>4.6</v>
      </c>
      <c r="K78" s="38" t="n">
        <v>4.5</v>
      </c>
      <c r="L78" s="21">
        <f>ROUND((G78*11 + H78*11 + I78*5 + J78*8 + K78*16), 0)</f>
        <v/>
      </c>
      <c r="M78" s="19">
        <f>ROUND(AVERAGE(G78:K78), 2)</f>
        <v/>
      </c>
      <c r="N78" s="11">
        <f>IF(M78&gt;=4.5,"Excelente (E)", IF(M78&gt;=3.5,"Muito Bom (MB)", IF(M78&gt;=2.5,"Bom (B)", IF(M78&gt;=1.5,"Regular (R)","Deficiente (D)"))))</f>
        <v/>
      </c>
      <c r="O78" s="28" t="inlineStr">
        <is>
          <t>Concluído</t>
        </is>
      </c>
    </row>
    <row r="79" ht="20" customHeight="1">
      <c r="A79" s="24" t="n">
        <v>74</v>
      </c>
      <c r="B79" s="39" t="inlineStr">
        <is>
          <t>Pr. Agostinho Santos</t>
        </is>
      </c>
      <c r="C79" s="39" t="inlineStr">
        <is>
          <t>Missão Litoral</t>
        </is>
      </c>
      <c r="D79" s="24" t="inlineStr">
        <is>
          <t>Benguela</t>
        </is>
      </c>
      <c r="E79" s="39" t="inlineStr">
        <is>
          <t>Pastor Departamental</t>
        </is>
      </c>
      <c r="F79" s="24" t="inlineStr">
        <is>
          <t>938810692</t>
        </is>
      </c>
      <c r="G79" s="40" t="n">
        <v>4.55</v>
      </c>
      <c r="H79" s="40" t="n">
        <v>4.6</v>
      </c>
      <c r="I79" s="40" t="n">
        <v>4.5</v>
      </c>
      <c r="J79" s="40" t="n">
        <v>4.65</v>
      </c>
      <c r="K79" s="40" t="n">
        <v>4.55</v>
      </c>
      <c r="L79" s="27">
        <f>ROUND((G79*11 + H79*11 + I79*5 + J79*8 + K79*16), 0)</f>
        <v/>
      </c>
      <c r="M79" s="25">
        <f>ROUND(AVERAGE(G79:K79), 2)</f>
        <v/>
      </c>
      <c r="N79" s="11">
        <f>IF(M79&gt;=4.5,"Excelente (E)", IF(M79&gt;=3.5,"Muito Bom (MB)", IF(M79&gt;=2.5,"Bom (B)", IF(M79&gt;=1.5,"Regular (R)","Deficiente (D)"))))</f>
        <v/>
      </c>
      <c r="O79" s="29" t="inlineStr">
        <is>
          <t>Concluído</t>
        </is>
      </c>
    </row>
    <row r="80" ht="20" customHeight="1">
      <c r="A80" s="18" t="n">
        <v>75</v>
      </c>
      <c r="B80" s="37" t="inlineStr">
        <is>
          <t>Pr. Avelino Ecumbi</t>
        </is>
      </c>
      <c r="C80" s="37" t="inlineStr">
        <is>
          <t>Missão Litoral</t>
        </is>
      </c>
      <c r="D80" s="18" t="inlineStr">
        <is>
          <t>Benguela</t>
        </is>
      </c>
      <c r="E80" s="37" t="inlineStr">
        <is>
          <t>Pastor Departamental</t>
        </is>
      </c>
      <c r="F80" s="18" t="inlineStr">
        <is>
          <t>923391346</t>
        </is>
      </c>
      <c r="G80" s="38" t="n">
        <v>4.5</v>
      </c>
      <c r="H80" s="38" t="n">
        <v>4.55</v>
      </c>
      <c r="I80" s="38" t="n">
        <v>4.45</v>
      </c>
      <c r="J80" s="38" t="n">
        <v>4.6</v>
      </c>
      <c r="K80" s="38" t="n">
        <v>4.5</v>
      </c>
      <c r="L80" s="21">
        <f>ROUND((G80*11 + H80*11 + I80*5 + J80*8 + K80*16), 0)</f>
        <v/>
      </c>
      <c r="M80" s="19">
        <f>ROUND(AVERAGE(G80:K80), 2)</f>
        <v/>
      </c>
      <c r="N80" s="11">
        <f>IF(M80&gt;=4.5,"Excelente (E)", IF(M80&gt;=3.5,"Muito Bom (MB)", IF(M80&gt;=2.5,"Bom (B)", IF(M80&gt;=1.5,"Regular (R)","Deficiente (D)"))))</f>
        <v/>
      </c>
      <c r="O80" s="28" t="inlineStr">
        <is>
          <t>Concluído</t>
        </is>
      </c>
    </row>
    <row r="81" ht="20" customHeight="1">
      <c r="A81" s="24" t="n">
        <v>76</v>
      </c>
      <c r="B81" s="39" t="inlineStr">
        <is>
          <t>Pr. Paulino Cambuco</t>
        </is>
      </c>
      <c r="C81" s="39" t="inlineStr">
        <is>
          <t>Missão Litoral</t>
        </is>
      </c>
      <c r="D81" s="24" t="inlineStr">
        <is>
          <t>Benguela</t>
        </is>
      </c>
      <c r="E81" s="39" t="inlineStr">
        <is>
          <t>Pastor Departamental</t>
        </is>
      </c>
      <c r="F81" s="24" t="inlineStr">
        <is>
          <t>945048041</t>
        </is>
      </c>
      <c r="G81" s="40" t="n">
        <v>4.45</v>
      </c>
      <c r="H81" s="40" t="n">
        <v>4.5</v>
      </c>
      <c r="I81" s="40" t="n">
        <v>4.4</v>
      </c>
      <c r="J81" s="40" t="n">
        <v>4.55</v>
      </c>
      <c r="K81" s="40" t="n">
        <v>4.45</v>
      </c>
      <c r="L81" s="27">
        <f>ROUND((G81*11 + H81*11 + I81*5 + J81*8 + K81*16), 0)</f>
        <v/>
      </c>
      <c r="M81" s="25">
        <f>ROUND(AVERAGE(G81:K81), 2)</f>
        <v/>
      </c>
      <c r="N81" s="11">
        <f>IF(M81&gt;=4.5,"Excelente (E)", IF(M81&gt;=3.5,"Muito Bom (MB)", IF(M81&gt;=2.5,"Bom (B)", IF(M81&gt;=1.5,"Regular (R)","Deficiente (D)"))))</f>
        <v/>
      </c>
      <c r="O81" s="29" t="inlineStr">
        <is>
          <t>Concluído</t>
        </is>
      </c>
    </row>
    <row r="82" ht="20" customHeight="1">
      <c r="A82" s="18" t="n">
        <v>77</v>
      </c>
      <c r="B82" s="37" t="inlineStr">
        <is>
          <t>Pr. Amílcar F. Gonçalves</t>
        </is>
      </c>
      <c r="C82" s="37" t="inlineStr">
        <is>
          <t>Missão Sul</t>
        </is>
      </c>
      <c r="D82" s="18" t="inlineStr">
        <is>
          <t>Huíla</t>
        </is>
      </c>
      <c r="E82" s="37" t="inlineStr">
        <is>
          <t>Pastor Departamental</t>
        </is>
      </c>
      <c r="F82" s="18" t="inlineStr">
        <is>
          <t>926754163</t>
        </is>
      </c>
      <c r="G82" s="38" t="n">
        <v>4.6</v>
      </c>
      <c r="H82" s="38" t="n">
        <v>4.65</v>
      </c>
      <c r="I82" s="38" t="n">
        <v>4.55</v>
      </c>
      <c r="J82" s="38" t="n">
        <v>4.7</v>
      </c>
      <c r="K82" s="38" t="n">
        <v>4.6</v>
      </c>
      <c r="L82" s="21">
        <f>ROUND((G82*11 + H82*11 + I82*5 + J82*8 + K82*16), 0)</f>
        <v/>
      </c>
      <c r="M82" s="19">
        <f>ROUND(AVERAGE(G82:K82), 2)</f>
        <v/>
      </c>
      <c r="N82" s="11">
        <f>IF(M82&gt;=4.5,"Excelente (E)", IF(M82&gt;=3.5,"Muito Bom (MB)", IF(M82&gt;=2.5,"Bom (B)", IF(M82&gt;=1.5,"Regular (R)","Deficiente (D)"))))</f>
        <v/>
      </c>
      <c r="O82" s="28" t="inlineStr">
        <is>
          <t>Concluído</t>
        </is>
      </c>
    </row>
    <row r="83" ht="20" customHeight="1">
      <c r="A83" s="24" t="n">
        <v>78</v>
      </c>
      <c r="B83" s="39" t="inlineStr">
        <is>
          <t>Pr. Armindo Graça Morais</t>
        </is>
      </c>
      <c r="C83" s="39" t="inlineStr">
        <is>
          <t>Missão Sul</t>
        </is>
      </c>
      <c r="D83" s="24" t="inlineStr">
        <is>
          <t>Huíla</t>
        </is>
      </c>
      <c r="E83" s="39" t="inlineStr">
        <is>
          <t>Pastor Departamental</t>
        </is>
      </c>
      <c r="F83" s="24" t="inlineStr">
        <is>
          <t>922353060</t>
        </is>
      </c>
      <c r="G83" s="40" t="n">
        <v>4.65</v>
      </c>
      <c r="H83" s="40" t="n">
        <v>4.7</v>
      </c>
      <c r="I83" s="40" t="n">
        <v>4.6</v>
      </c>
      <c r="J83" s="40" t="n">
        <v>4.75</v>
      </c>
      <c r="K83" s="40" t="n">
        <v>4.65</v>
      </c>
      <c r="L83" s="27">
        <f>ROUND((G83*11 + H83*11 + I83*5 + J83*8 + K83*16), 0)</f>
        <v/>
      </c>
      <c r="M83" s="25">
        <f>ROUND(AVERAGE(G83:K83), 2)</f>
        <v/>
      </c>
      <c r="N83" s="11">
        <f>IF(M83&gt;=4.5,"Excelente (E)", IF(M83&gt;=3.5,"Muito Bom (MB)", IF(M83&gt;=2.5,"Bom (B)", IF(M83&gt;=1.5,"Regular (R)","Deficiente (D)"))))</f>
        <v/>
      </c>
      <c r="O83" s="29" t="inlineStr">
        <is>
          <t>Concluído</t>
        </is>
      </c>
    </row>
    <row r="84" ht="20" customHeight="1">
      <c r="A84" s="18" t="n">
        <v>79</v>
      </c>
      <c r="B84" s="37" t="inlineStr">
        <is>
          <t>Pr. Bonifácio Chombe</t>
        </is>
      </c>
      <c r="C84" s="37" t="inlineStr">
        <is>
          <t>Missão Litoral</t>
        </is>
      </c>
      <c r="D84" s="18" t="inlineStr">
        <is>
          <t>Benguela</t>
        </is>
      </c>
      <c r="E84" s="37" t="inlineStr">
        <is>
          <t>Pastor Departamental</t>
        </is>
      </c>
      <c r="F84" s="18" t="inlineStr">
        <is>
          <t>945463857</t>
        </is>
      </c>
      <c r="G84" s="38" t="n">
        <v>4.5</v>
      </c>
      <c r="H84" s="38" t="n">
        <v>4.55</v>
      </c>
      <c r="I84" s="38" t="n">
        <v>4.45</v>
      </c>
      <c r="J84" s="38" t="n">
        <v>4.6</v>
      </c>
      <c r="K84" s="38" t="n">
        <v>4.5</v>
      </c>
      <c r="L84" s="21">
        <f>ROUND((G84*11 + H84*11 + I84*5 + J84*8 + K84*16), 0)</f>
        <v/>
      </c>
      <c r="M84" s="19">
        <f>ROUND(AVERAGE(G84:K84), 2)</f>
        <v/>
      </c>
      <c r="N84" s="11">
        <f>IF(M84&gt;=4.5,"Excelente (E)", IF(M84&gt;=3.5,"Muito Bom (MB)", IF(M84&gt;=2.5,"Bom (B)", IF(M84&gt;=1.5,"Regular (R)","Deficiente (D)"))))</f>
        <v/>
      </c>
      <c r="O84" s="28" t="inlineStr">
        <is>
          <t>Concluído</t>
        </is>
      </c>
    </row>
    <row r="85" ht="20" customHeight="1">
      <c r="A85" s="24" t="n">
        <v>80</v>
      </c>
      <c r="B85" s="39" t="inlineStr">
        <is>
          <t>Pr. Orlando Sérgio José</t>
        </is>
      </c>
      <c r="C85" s="39" t="inlineStr">
        <is>
          <t>Mungo</t>
        </is>
      </c>
      <c r="D85" s="24" t="inlineStr">
        <is>
          <t>Huambo</t>
        </is>
      </c>
      <c r="E85" s="39" t="inlineStr">
        <is>
          <t>Pastor Distrital</t>
        </is>
      </c>
      <c r="F85" s="24" t="inlineStr">
        <is>
          <t>923974759</t>
        </is>
      </c>
      <c r="G85" s="40" t="n">
        <v>4.55</v>
      </c>
      <c r="H85" s="40" t="n">
        <v>4.6</v>
      </c>
      <c r="I85" s="40" t="n">
        <v>4.5</v>
      </c>
      <c r="J85" s="40" t="n">
        <v>4.65</v>
      </c>
      <c r="K85" s="40" t="n">
        <v>4.55</v>
      </c>
      <c r="L85" s="27">
        <f>ROUND((G85*11 + H85*11 + I85*5 + J85*8 + K85*16), 0)</f>
        <v/>
      </c>
      <c r="M85" s="25">
        <f>ROUND(AVERAGE(G85:K85), 2)</f>
        <v/>
      </c>
      <c r="N85" s="11">
        <f>IF(M85&gt;=4.5,"Excelente (E)", IF(M85&gt;=3.5,"Muito Bom (MB)", IF(M85&gt;=2.5,"Bom (B)", IF(M85&gt;=1.5,"Regular (R)","Deficiente (D)"))))</f>
        <v/>
      </c>
      <c r="O85" s="29" t="inlineStr">
        <is>
          <t>Concluído</t>
        </is>
      </c>
    </row>
    <row r="86" ht="20" customHeight="1">
      <c r="A86" s="18" t="n">
        <v>81</v>
      </c>
      <c r="B86" s="37" t="inlineStr">
        <is>
          <t>Pr. Galvão Vasco Chalale</t>
        </is>
      </c>
      <c r="C86" s="37" t="inlineStr">
        <is>
          <t>Nharea</t>
        </is>
      </c>
      <c r="D86" s="18" t="inlineStr">
        <is>
          <t>Bié</t>
        </is>
      </c>
      <c r="E86" s="37" t="inlineStr">
        <is>
          <t>Pastor Distrital</t>
        </is>
      </c>
      <c r="F86" s="18" t="inlineStr">
        <is>
          <t>925624328</t>
        </is>
      </c>
      <c r="G86" s="38" t="n">
        <v>4.45</v>
      </c>
      <c r="H86" s="38" t="n">
        <v>4.5</v>
      </c>
      <c r="I86" s="38" t="n">
        <v>4.4</v>
      </c>
      <c r="J86" s="38" t="n">
        <v>4.55</v>
      </c>
      <c r="K86" s="38" t="n">
        <v>4.45</v>
      </c>
      <c r="L86" s="21">
        <f>ROUND((G86*11 + H86*11 + I86*5 + J86*8 + K86*16), 0)</f>
        <v/>
      </c>
      <c r="M86" s="19">
        <f>ROUND(AVERAGE(G86:K86), 2)</f>
        <v/>
      </c>
      <c r="N86" s="11">
        <f>IF(M86&gt;=4.5,"Excelente (E)", IF(M86&gt;=3.5,"Muito Bom (MB)", IF(M86&gt;=2.5,"Bom (B)", IF(M86&gt;=1.5,"Regular (R)","Deficiente (D)"))))</f>
        <v/>
      </c>
      <c r="O86" s="28" t="inlineStr">
        <is>
          <t>Concluído</t>
        </is>
      </c>
    </row>
    <row r="87" ht="20" customHeight="1">
      <c r="A87" s="24" t="n">
        <v>82</v>
      </c>
      <c r="B87" s="39" t="inlineStr">
        <is>
          <t>Anc. Feliciano Carlos</t>
        </is>
      </c>
      <c r="C87" s="39" t="inlineStr">
        <is>
          <t>Nova Centralidade</t>
        </is>
      </c>
      <c r="D87" s="24" t="inlineStr">
        <is>
          <t>Bié</t>
        </is>
      </c>
      <c r="E87" s="39" t="inlineStr">
        <is>
          <t>Líder / Pastor</t>
        </is>
      </c>
      <c r="F87" s="24" t="inlineStr">
        <is>
          <t>925362826</t>
        </is>
      </c>
      <c r="G87" s="40" t="n">
        <v>4.4</v>
      </c>
      <c r="H87" s="40" t="n">
        <v>4.45</v>
      </c>
      <c r="I87" s="40" t="n">
        <v>4.35</v>
      </c>
      <c r="J87" s="40" t="n">
        <v>4.5</v>
      </c>
      <c r="K87" s="40" t="n">
        <v>4.4</v>
      </c>
      <c r="L87" s="27">
        <f>ROUND((G87*11 + H87*11 + I87*5 + J87*8 + K87*16), 0)</f>
        <v/>
      </c>
      <c r="M87" s="25">
        <f>ROUND(AVERAGE(G87:K87), 2)</f>
        <v/>
      </c>
      <c r="N87" s="11">
        <f>IF(M87&gt;=4.5,"Excelente (E)", IF(M87&gt;=3.5,"Muito Bom (MB)", IF(M87&gt;=2.5,"Bom (B)", IF(M87&gt;=1.5,"Regular (R)","Deficiente (D)"))))</f>
        <v/>
      </c>
      <c r="O87" s="29" t="inlineStr">
        <is>
          <t>Concluído</t>
        </is>
      </c>
    </row>
    <row r="88" ht="20" customHeight="1">
      <c r="A88" s="18" t="n">
        <v>83</v>
      </c>
      <c r="B88" s="37" t="inlineStr">
        <is>
          <t>Pr. Armando Tunguta</t>
        </is>
      </c>
      <c r="C88" s="37" t="inlineStr">
        <is>
          <t>Progressiva</t>
        </is>
      </c>
      <c r="D88" s="18" t="inlineStr">
        <is>
          <t>Huambo</t>
        </is>
      </c>
      <c r="E88" s="37" t="inlineStr">
        <is>
          <t>Pastor Distrital</t>
        </is>
      </c>
      <c r="F88" s="18" t="inlineStr">
        <is>
          <t>946285181</t>
        </is>
      </c>
      <c r="G88" s="38" t="n">
        <v>4.5</v>
      </c>
      <c r="H88" s="38" t="n">
        <v>4.55</v>
      </c>
      <c r="I88" s="38" t="n">
        <v>4.45</v>
      </c>
      <c r="J88" s="38" t="n">
        <v>4.6</v>
      </c>
      <c r="K88" s="38" t="n">
        <v>4.5</v>
      </c>
      <c r="L88" s="21">
        <f>ROUND((G88*11 + H88*11 + I88*5 + J88*8 + K88*16), 0)</f>
        <v/>
      </c>
      <c r="M88" s="19">
        <f>ROUND(AVERAGE(G88:K88), 2)</f>
        <v/>
      </c>
      <c r="N88" s="11">
        <f>IF(M88&gt;=4.5,"Excelente (E)", IF(M88&gt;=3.5,"Muito Bom (MB)", IF(M88&gt;=2.5,"Bom (B)", IF(M88&gt;=1.5,"Regular (R)","Deficiente (D)"))))</f>
        <v/>
      </c>
      <c r="O88" s="28" t="inlineStr">
        <is>
          <t>Concluído</t>
        </is>
      </c>
    </row>
    <row r="89" ht="20" customHeight="1">
      <c r="A89" s="24" t="n">
        <v>84</v>
      </c>
      <c r="B89" s="39" t="inlineStr">
        <is>
          <t>Pr. Afonso Figura Cardoso</t>
        </is>
      </c>
      <c r="C89" s="39" t="inlineStr">
        <is>
          <t>Smirna - Kuito</t>
        </is>
      </c>
      <c r="D89" s="24" t="inlineStr">
        <is>
          <t>Bié</t>
        </is>
      </c>
      <c r="E89" s="39" t="inlineStr">
        <is>
          <t>Pastor Distrital</t>
        </is>
      </c>
      <c r="F89" s="24" t="inlineStr">
        <is>
          <t>923475604</t>
        </is>
      </c>
      <c r="G89" s="40" t="n">
        <v>4.55</v>
      </c>
      <c r="H89" s="40" t="n">
        <v>4.6</v>
      </c>
      <c r="I89" s="40" t="n">
        <v>4.5</v>
      </c>
      <c r="J89" s="40" t="n">
        <v>4.65</v>
      </c>
      <c r="K89" s="40" t="n">
        <v>4.55</v>
      </c>
      <c r="L89" s="27">
        <f>ROUND((G89*11 + H89*11 + I89*5 + J89*8 + K89*16), 0)</f>
        <v/>
      </c>
      <c r="M89" s="25">
        <f>ROUND(AVERAGE(G89:K89), 2)</f>
        <v/>
      </c>
      <c r="N89" s="11">
        <f>IF(M89&gt;=4.5,"Excelente (E)", IF(M89&gt;=3.5,"Muito Bom (MB)", IF(M89&gt;=2.5,"Bom (B)", IF(M89&gt;=1.5,"Regular (R)","Deficiente (D)"))))</f>
        <v/>
      </c>
      <c r="O89" s="29" t="inlineStr">
        <is>
          <t>Concluído</t>
        </is>
      </c>
    </row>
    <row r="90" ht="20" customHeight="1">
      <c r="A90" s="18" t="n">
        <v>85</v>
      </c>
      <c r="B90" s="37" t="inlineStr">
        <is>
          <t>Pr. Necas dos Santos</t>
        </is>
      </c>
      <c r="C90" s="37" t="inlineStr">
        <is>
          <t>União Sudoeste</t>
        </is>
      </c>
      <c r="D90" s="18" t="inlineStr">
        <is>
          <t>Huambo</t>
        </is>
      </c>
      <c r="E90" s="37" t="inlineStr">
        <is>
          <t>Pastor Departamental</t>
        </is>
      </c>
      <c r="F90" s="18" t="inlineStr">
        <is>
          <t>929781309</t>
        </is>
      </c>
      <c r="G90" s="38" t="n">
        <v>4.6</v>
      </c>
      <c r="H90" s="38" t="n">
        <v>4.65</v>
      </c>
      <c r="I90" s="38" t="n">
        <v>4.55</v>
      </c>
      <c r="J90" s="38" t="n">
        <v>4.7</v>
      </c>
      <c r="K90" s="38" t="n">
        <v>4.6</v>
      </c>
      <c r="L90" s="21">
        <f>ROUND((G90*11 + H90*11 + I90*5 + J90*8 + K90*16), 0)</f>
        <v/>
      </c>
      <c r="M90" s="19">
        <f>ROUND(AVERAGE(G90:K90), 2)</f>
        <v/>
      </c>
      <c r="N90" s="11">
        <f>IF(M90&gt;=4.5,"Excelente (E)", IF(M90&gt;=3.5,"Muito Bom (MB)", IF(M90&gt;=2.5,"Bom (B)", IF(M90&gt;=1.5,"Regular (R)","Deficiente (D)"))))</f>
        <v/>
      </c>
      <c r="O90" s="28" t="inlineStr">
        <is>
          <t>Concluído</t>
        </is>
      </c>
    </row>
    <row r="91" ht="20" customHeight="1">
      <c r="A91" s="24" t="n">
        <v>86</v>
      </c>
      <c r="B91" s="39" t="inlineStr">
        <is>
          <t>Anc. Sabino Leo Sankulo</t>
        </is>
      </c>
      <c r="C91" s="39" t="inlineStr">
        <is>
          <t>União Sudoeste</t>
        </is>
      </c>
      <c r="D91" s="24" t="inlineStr">
        <is>
          <t>Huambo</t>
        </is>
      </c>
      <c r="E91" s="39" t="inlineStr">
        <is>
          <t>Líder / Pastor</t>
        </is>
      </c>
      <c r="F91" s="24" t="inlineStr">
        <is>
          <t>938277977</t>
        </is>
      </c>
      <c r="G91" s="40" t="n">
        <v>4.5</v>
      </c>
      <c r="H91" s="40" t="n">
        <v>4.55</v>
      </c>
      <c r="I91" s="40" t="n">
        <v>4.45</v>
      </c>
      <c r="J91" s="40" t="n">
        <v>4.6</v>
      </c>
      <c r="K91" s="40" t="n">
        <v>4.5</v>
      </c>
      <c r="L91" s="27">
        <f>ROUND((G91*11 + H91*11 + I91*5 + J91*8 + K91*16), 0)</f>
        <v/>
      </c>
      <c r="M91" s="25">
        <f>ROUND(AVERAGE(G91:K91), 2)</f>
        <v/>
      </c>
      <c r="N91" s="11">
        <f>IF(M91&gt;=4.5,"Excelente (E)", IF(M91&gt;=3.5,"Muito Bom (MB)", IF(M91&gt;=2.5,"Bom (B)", IF(M91&gt;=1.5,"Regular (R)","Deficiente (D)"))))</f>
        <v/>
      </c>
      <c r="O91" s="29" t="inlineStr">
        <is>
          <t>Concluído</t>
        </is>
      </c>
    </row>
    <row r="92" ht="20" customHeight="1">
      <c r="A92" s="18" t="n">
        <v>87</v>
      </c>
      <c r="B92" s="37" t="inlineStr">
        <is>
          <t>Pr. Ermenegildo Sacanjala</t>
        </is>
      </c>
      <c r="C92" s="37" t="inlineStr">
        <is>
          <t>Huambo</t>
        </is>
      </c>
      <c r="D92" s="18" t="inlineStr">
        <is>
          <t>Huambo</t>
        </is>
      </c>
      <c r="E92" s="37" t="inlineStr">
        <is>
          <t>Pastor Licenciado</t>
        </is>
      </c>
      <c r="F92" s="18" t="inlineStr">
        <is>
          <t>923250056</t>
        </is>
      </c>
      <c r="G92" s="38" t="n">
        <v>4.4</v>
      </c>
      <c r="H92" s="38" t="n">
        <v>4.45</v>
      </c>
      <c r="I92" s="38" t="n">
        <v>4.35</v>
      </c>
      <c r="J92" s="38" t="n">
        <v>4.5</v>
      </c>
      <c r="K92" s="38" t="n">
        <v>4.4</v>
      </c>
      <c r="L92" s="21">
        <f>ROUND((G92*11 + H92*11 + I92*5 + J92*8 + K92*16), 0)</f>
        <v/>
      </c>
      <c r="M92" s="19">
        <f>ROUND(AVERAGE(G92:K92), 2)</f>
        <v/>
      </c>
      <c r="N92" s="11">
        <f>IF(M92&gt;=4.5,"Excelente (E)", IF(M92&gt;=3.5,"Muito Bom (MB)", IF(M92&gt;=2.5,"Bom (B)", IF(M92&gt;=1.5,"Regular (R)","Deficiente (D)"))))</f>
        <v/>
      </c>
      <c r="O92" s="28" t="inlineStr">
        <is>
          <t>Concluído</t>
        </is>
      </c>
    </row>
    <row r="93" ht="20" customHeight="1">
      <c r="A93" s="24" t="n">
        <v>88</v>
      </c>
      <c r="B93" s="39" t="inlineStr">
        <is>
          <t>Pr. Jones Vitorino Dala</t>
        </is>
      </c>
      <c r="C93" s="39" t="inlineStr">
        <is>
          <t>Huambo</t>
        </is>
      </c>
      <c r="D93" s="24" t="inlineStr">
        <is>
          <t>Huambo</t>
        </is>
      </c>
      <c r="E93" s="39" t="inlineStr">
        <is>
          <t>Pastor Licenciado</t>
        </is>
      </c>
      <c r="F93" s="24" t="inlineStr">
        <is>
          <t>926731423</t>
        </is>
      </c>
      <c r="G93" s="40" t="n">
        <v>4.35</v>
      </c>
      <c r="H93" s="40" t="n">
        <v>4.4</v>
      </c>
      <c r="I93" s="40" t="n">
        <v>4.3</v>
      </c>
      <c r="J93" s="40" t="n">
        <v>4.45</v>
      </c>
      <c r="K93" s="40" t="n">
        <v>4.35</v>
      </c>
      <c r="L93" s="27">
        <f>ROUND((G93*11 + H93*11 + I93*5 + J93*8 + K93*16), 0)</f>
        <v/>
      </c>
      <c r="M93" s="25">
        <f>ROUND(AVERAGE(G93:K93), 2)</f>
        <v/>
      </c>
      <c r="N93" s="11">
        <f>IF(M93&gt;=4.5,"Excelente (E)", IF(M93&gt;=3.5,"Muito Bom (MB)", IF(M93&gt;=2.5,"Bom (B)", IF(M93&gt;=1.5,"Regular (R)","Deficiente (D)"))))</f>
        <v/>
      </c>
      <c r="O93" s="29" t="inlineStr">
        <is>
          <t>Concluído</t>
        </is>
      </c>
    </row>
    <row r="94" ht="20" customHeight="1">
      <c r="A94" s="18" t="n">
        <v>89</v>
      </c>
      <c r="B94" s="37" t="inlineStr">
        <is>
          <t>Pr. Paulino Américo</t>
        </is>
      </c>
      <c r="C94" s="37" t="inlineStr">
        <is>
          <t>Huambo</t>
        </is>
      </c>
      <c r="D94" s="18" t="inlineStr">
        <is>
          <t>Huambo</t>
        </is>
      </c>
      <c r="E94" s="37" t="inlineStr">
        <is>
          <t>Pastor Licenciado</t>
        </is>
      </c>
      <c r="F94" s="18" t="inlineStr">
        <is>
          <t>923305647</t>
        </is>
      </c>
      <c r="G94" s="38" t="n">
        <v>4.45</v>
      </c>
      <c r="H94" s="38" t="n">
        <v>4.5</v>
      </c>
      <c r="I94" s="38" t="n">
        <v>4.4</v>
      </c>
      <c r="J94" s="38" t="n">
        <v>4.55</v>
      </c>
      <c r="K94" s="38" t="n">
        <v>4.45</v>
      </c>
      <c r="L94" s="21">
        <f>ROUND((G94*11 + H94*11 + I94*5 + J94*8 + K94*16), 0)</f>
        <v/>
      </c>
      <c r="M94" s="19">
        <f>ROUND(AVERAGE(G94:K94), 2)</f>
        <v/>
      </c>
      <c r="N94" s="11">
        <f>IF(M94&gt;=4.5,"Excelente (E)", IF(M94&gt;=3.5,"Muito Bom (MB)", IF(M94&gt;=2.5,"Bom (B)", IF(M94&gt;=1.5,"Regular (R)","Deficiente (D)"))))</f>
        <v/>
      </c>
      <c r="O94" s="28" t="inlineStr">
        <is>
          <t>Concluído</t>
        </is>
      </c>
    </row>
    <row r="95" ht="20" customHeight="1">
      <c r="A95" s="24" t="n">
        <v>90</v>
      </c>
      <c r="B95" s="39" t="inlineStr">
        <is>
          <t>Pr. Alberto Vinhanga</t>
        </is>
      </c>
      <c r="C95" s="39" t="inlineStr">
        <is>
          <t>Huambo</t>
        </is>
      </c>
      <c r="D95" s="24" t="inlineStr">
        <is>
          <t>Huambo</t>
        </is>
      </c>
      <c r="E95" s="39" t="inlineStr">
        <is>
          <t>Pastor Licenciado</t>
        </is>
      </c>
      <c r="F95" s="24" t="inlineStr">
        <is>
          <t>924420336</t>
        </is>
      </c>
      <c r="G95" s="40" t="n">
        <v>4.5</v>
      </c>
      <c r="H95" s="40" t="n">
        <v>4.55</v>
      </c>
      <c r="I95" s="40" t="n">
        <v>4.45</v>
      </c>
      <c r="J95" s="40" t="n">
        <v>4.6</v>
      </c>
      <c r="K95" s="40" t="n">
        <v>4.5</v>
      </c>
      <c r="L95" s="27">
        <f>ROUND((G95*11 + H95*11 + I95*5 + J95*8 + K95*16), 0)</f>
        <v/>
      </c>
      <c r="M95" s="25">
        <f>ROUND(AVERAGE(G95:K95), 2)</f>
        <v/>
      </c>
      <c r="N95" s="11">
        <f>IF(M95&gt;=4.5,"Excelente (E)", IF(M95&gt;=3.5,"Muito Bom (MB)", IF(M95&gt;=2.5,"Bom (B)", IF(M95&gt;=1.5,"Regular (R)","Deficiente (D)"))))</f>
        <v/>
      </c>
      <c r="O95" s="29" t="inlineStr">
        <is>
          <t>Concluído</t>
        </is>
      </c>
    </row>
    <row r="96" ht="20" customHeight="1">
      <c r="A96" s="18" t="n">
        <v>91</v>
      </c>
      <c r="B96" s="37" t="inlineStr">
        <is>
          <t>Pr. Mariano Ricardo Tomboco</t>
        </is>
      </c>
      <c r="C96" s="37" t="inlineStr">
        <is>
          <t>Huambo</t>
        </is>
      </c>
      <c r="D96" s="18" t="inlineStr">
        <is>
          <t>Huambo</t>
        </is>
      </c>
      <c r="E96" s="37" t="inlineStr">
        <is>
          <t>Pastor Licenciado</t>
        </is>
      </c>
      <c r="F96" s="18" t="inlineStr">
        <is>
          <t>924700794</t>
        </is>
      </c>
      <c r="G96" s="38" t="n">
        <v>4.4</v>
      </c>
      <c r="H96" s="38" t="n">
        <v>4.45</v>
      </c>
      <c r="I96" s="38" t="n">
        <v>4.35</v>
      </c>
      <c r="J96" s="38" t="n">
        <v>4.5</v>
      </c>
      <c r="K96" s="38" t="n">
        <v>4.4</v>
      </c>
      <c r="L96" s="21">
        <f>ROUND((G96*11 + H96*11 + I96*5 + J96*8 + K96*16), 0)</f>
        <v/>
      </c>
      <c r="M96" s="19">
        <f>ROUND(AVERAGE(G96:K96), 2)</f>
        <v/>
      </c>
      <c r="N96" s="11">
        <f>IF(M96&gt;=4.5,"Excelente (E)", IF(M96&gt;=3.5,"Muito Bom (MB)", IF(M96&gt;=2.5,"Bom (B)", IF(M96&gt;=1.5,"Regular (R)","Deficiente (D)"))))</f>
        <v/>
      </c>
      <c r="O96" s="28" t="inlineStr">
        <is>
          <t>Concluído</t>
        </is>
      </c>
    </row>
    <row r="97" ht="20" customHeight="1">
      <c r="A97" s="24" t="n">
        <v>92</v>
      </c>
      <c r="B97" s="39" t="inlineStr">
        <is>
          <t>Pr. Francisco Cassucussuco</t>
        </is>
      </c>
      <c r="C97" s="39" t="inlineStr">
        <is>
          <t>Huambo</t>
        </is>
      </c>
      <c r="D97" s="24" t="inlineStr">
        <is>
          <t>Huambo</t>
        </is>
      </c>
      <c r="E97" s="39" t="inlineStr">
        <is>
          <t>Pastor Licenciado</t>
        </is>
      </c>
      <c r="F97" s="24" t="inlineStr">
        <is>
          <t>924752440</t>
        </is>
      </c>
      <c r="G97" s="40" t="n">
        <v>4.35</v>
      </c>
      <c r="H97" s="40" t="n">
        <v>4.4</v>
      </c>
      <c r="I97" s="40" t="n">
        <v>4.3</v>
      </c>
      <c r="J97" s="40" t="n">
        <v>4.45</v>
      </c>
      <c r="K97" s="40" t="n">
        <v>4.35</v>
      </c>
      <c r="L97" s="27">
        <f>ROUND((G97*11 + H97*11 + I97*5 + J97*8 + K97*16), 0)</f>
        <v/>
      </c>
      <c r="M97" s="25">
        <f>ROUND(AVERAGE(G97:K97), 2)</f>
        <v/>
      </c>
      <c r="N97" s="11">
        <f>IF(M97&gt;=4.5,"Excelente (E)", IF(M97&gt;=3.5,"Muito Bom (MB)", IF(M97&gt;=2.5,"Bom (B)", IF(M97&gt;=1.5,"Regular (R)","Deficiente (D)"))))</f>
        <v/>
      </c>
      <c r="O97" s="29" t="inlineStr">
        <is>
          <t>Concluído</t>
        </is>
      </c>
    </row>
    <row r="98" ht="20" customHeight="1">
      <c r="A98" s="18" t="n">
        <v>93</v>
      </c>
      <c r="B98" s="37" t="inlineStr">
        <is>
          <t>Pr. Severiano Chicolomhuenho</t>
        </is>
      </c>
      <c r="C98" s="37" t="inlineStr">
        <is>
          <t>Huambo</t>
        </is>
      </c>
      <c r="D98" s="18" t="inlineStr">
        <is>
          <t>Huambo</t>
        </is>
      </c>
      <c r="E98" s="37" t="inlineStr">
        <is>
          <t>Pastor Licenciado</t>
        </is>
      </c>
      <c r="F98" s="18" t="inlineStr">
        <is>
          <t>924700000</t>
        </is>
      </c>
      <c r="G98" s="38" t="n">
        <v>4.5</v>
      </c>
      <c r="H98" s="38" t="n">
        <v>4.55</v>
      </c>
      <c r="I98" s="38" t="n">
        <v>4.45</v>
      </c>
      <c r="J98" s="38" t="n">
        <v>4.6</v>
      </c>
      <c r="K98" s="38" t="n">
        <v>4.5</v>
      </c>
      <c r="L98" s="21">
        <f>ROUND((G98*11 + H98*11 + I98*5 + J98*8 + K98*16), 0)</f>
        <v/>
      </c>
      <c r="M98" s="19">
        <f>ROUND(AVERAGE(G98:K98), 2)</f>
        <v/>
      </c>
      <c r="N98" s="11">
        <f>IF(M98&gt;=4.5,"Excelente (E)", IF(M98&gt;=3.5,"Muito Bom (MB)", IF(M98&gt;=2.5,"Bom (B)", IF(M98&gt;=1.5,"Regular (R)","Deficiente (D)"))))</f>
        <v/>
      </c>
      <c r="O98" s="28" t="inlineStr">
        <is>
          <t>Concluído</t>
        </is>
      </c>
    </row>
    <row r="99" ht="20" customHeight="1">
      <c r="A99" s="24" t="n">
        <v>94</v>
      </c>
      <c r="B99" s="39" t="inlineStr">
        <is>
          <t>Pr. Lauriano Quelino</t>
        </is>
      </c>
      <c r="C99" s="39" t="inlineStr">
        <is>
          <t>Huambo</t>
        </is>
      </c>
      <c r="D99" s="24" t="inlineStr">
        <is>
          <t>Huambo</t>
        </is>
      </c>
      <c r="E99" s="39" t="inlineStr">
        <is>
          <t>Pastor Licenciado</t>
        </is>
      </c>
      <c r="F99" s="24" t="inlineStr">
        <is>
          <t>924700001</t>
        </is>
      </c>
      <c r="G99" s="40" t="n">
        <v>4.45</v>
      </c>
      <c r="H99" s="40" t="n">
        <v>4.5</v>
      </c>
      <c r="I99" s="40" t="n">
        <v>4.4</v>
      </c>
      <c r="J99" s="40" t="n">
        <v>4.55</v>
      </c>
      <c r="K99" s="40" t="n">
        <v>4.45</v>
      </c>
      <c r="L99" s="27">
        <f>ROUND((G99*11 + H99*11 + I99*5 + J99*8 + K99*16), 0)</f>
        <v/>
      </c>
      <c r="M99" s="25">
        <f>ROUND(AVERAGE(G99:K99), 2)</f>
        <v/>
      </c>
      <c r="N99" s="11">
        <f>IF(M99&gt;=4.5,"Excelente (E)", IF(M99&gt;=3.5,"Muito Bom (MB)", IF(M99&gt;=2.5,"Bom (B)", IF(M99&gt;=1.5,"Regular (R)","Deficiente (D)"))))</f>
        <v/>
      </c>
      <c r="O99" s="29" t="inlineStr">
        <is>
          <t>Concluído</t>
        </is>
      </c>
    </row>
    <row r="100" ht="20" customHeight="1">
      <c r="A100" s="18" t="n">
        <v>95</v>
      </c>
      <c r="B100" s="37" t="inlineStr">
        <is>
          <t>Pr. Daniel Chionga Cameia</t>
        </is>
      </c>
      <c r="C100" s="37" t="inlineStr">
        <is>
          <t>Huambo</t>
        </is>
      </c>
      <c r="D100" s="18" t="inlineStr">
        <is>
          <t>Huambo</t>
        </is>
      </c>
      <c r="E100" s="37" t="inlineStr">
        <is>
          <t>Pastor Licenciado</t>
        </is>
      </c>
      <c r="F100" s="18" t="inlineStr">
        <is>
          <t>924700002</t>
        </is>
      </c>
      <c r="G100" s="38" t="n">
        <v>4.5</v>
      </c>
      <c r="H100" s="38" t="n">
        <v>4.55</v>
      </c>
      <c r="I100" s="38" t="n">
        <v>4.45</v>
      </c>
      <c r="J100" s="38" t="n">
        <v>4.6</v>
      </c>
      <c r="K100" s="38" t="n">
        <v>4.5</v>
      </c>
      <c r="L100" s="21">
        <f>ROUND((G100*11 + H100*11 + I100*5 + J100*8 + K100*16), 0)</f>
        <v/>
      </c>
      <c r="M100" s="19">
        <f>ROUND(AVERAGE(G100:K100), 2)</f>
        <v/>
      </c>
      <c r="N100" s="11">
        <f>IF(M100&gt;=4.5,"Excelente (E)", IF(M100&gt;=3.5,"Muito Bom (MB)", IF(M100&gt;=2.5,"Bom (B)", IF(M100&gt;=1.5,"Regular (R)","Deficiente (D)"))))</f>
        <v/>
      </c>
      <c r="O100" s="28" t="inlineStr">
        <is>
          <t>Concluído</t>
        </is>
      </c>
    </row>
    <row r="101" ht="20" customHeight="1">
      <c r="A101" s="24" t="n">
        <v>96</v>
      </c>
      <c r="B101" s="39" t="inlineStr">
        <is>
          <t>Pr. Diamantino Sawambo</t>
        </is>
      </c>
      <c r="C101" s="39" t="inlineStr">
        <is>
          <t>Huambo</t>
        </is>
      </c>
      <c r="D101" s="24" t="inlineStr">
        <is>
          <t>Huambo</t>
        </is>
      </c>
      <c r="E101" s="39" t="inlineStr">
        <is>
          <t>Pastor Licenciado</t>
        </is>
      </c>
      <c r="F101" s="24" t="inlineStr">
        <is>
          <t>924700003</t>
        </is>
      </c>
      <c r="G101" s="40" t="n">
        <v>4.4</v>
      </c>
      <c r="H101" s="40" t="n">
        <v>4.45</v>
      </c>
      <c r="I101" s="40" t="n">
        <v>4.35</v>
      </c>
      <c r="J101" s="40" t="n">
        <v>4.5</v>
      </c>
      <c r="K101" s="40" t="n">
        <v>4.4</v>
      </c>
      <c r="L101" s="27">
        <f>ROUND((G101*11 + H101*11 + I101*5 + J101*8 + K101*16), 0)</f>
        <v/>
      </c>
      <c r="M101" s="25">
        <f>ROUND(AVERAGE(G101:K101), 2)</f>
        <v/>
      </c>
      <c r="N101" s="11">
        <f>IF(M101&gt;=4.5,"Excelente (E)", IF(M101&gt;=3.5,"Muito Bom (MB)", IF(M101&gt;=2.5,"Bom (B)", IF(M101&gt;=1.5,"Regular (R)","Deficiente (D)"))))</f>
        <v/>
      </c>
      <c r="O101" s="29" t="inlineStr">
        <is>
          <t>Concluído</t>
        </is>
      </c>
    </row>
    <row r="102" ht="20" customHeight="1">
      <c r="A102" s="18" t="n">
        <v>97</v>
      </c>
      <c r="B102" s="37" t="inlineStr">
        <is>
          <t>Pr. Tchindongo Djimbo</t>
        </is>
      </c>
      <c r="C102" s="37" t="inlineStr">
        <is>
          <t>Huambo</t>
        </is>
      </c>
      <c r="D102" s="18" t="inlineStr">
        <is>
          <t>Huambo</t>
        </is>
      </c>
      <c r="E102" s="37" t="inlineStr">
        <is>
          <t>Pastor Licenciado</t>
        </is>
      </c>
      <c r="F102" s="18" t="inlineStr">
        <is>
          <t>924700004</t>
        </is>
      </c>
      <c r="G102" s="38" t="n">
        <v>4.45</v>
      </c>
      <c r="H102" s="38" t="n">
        <v>4.5</v>
      </c>
      <c r="I102" s="38" t="n">
        <v>4.4</v>
      </c>
      <c r="J102" s="38" t="n">
        <v>4.55</v>
      </c>
      <c r="K102" s="38" t="n">
        <v>4.45</v>
      </c>
      <c r="L102" s="21">
        <f>ROUND((G102*11 + H102*11 + I102*5 + J102*8 + K102*16), 0)</f>
        <v/>
      </c>
      <c r="M102" s="19">
        <f>ROUND(AVERAGE(G102:K102), 2)</f>
        <v/>
      </c>
      <c r="N102" s="11">
        <f>IF(M102&gt;=4.5,"Excelente (E)", IF(M102&gt;=3.5,"Muito Bom (MB)", IF(M102&gt;=2.5,"Bom (B)", IF(M102&gt;=1.5,"Regular (R)","Deficiente (D)"))))</f>
        <v/>
      </c>
      <c r="O102" s="28" t="inlineStr">
        <is>
          <t>Concluído</t>
        </is>
      </c>
    </row>
    <row r="103" ht="20" customHeight="1">
      <c r="A103" s="24" t="n">
        <v>98</v>
      </c>
      <c r="B103" s="39" t="inlineStr">
        <is>
          <t>Pr. Isaias Sabonete</t>
        </is>
      </c>
      <c r="C103" s="39" t="inlineStr">
        <is>
          <t>Huambo</t>
        </is>
      </c>
      <c r="D103" s="24" t="inlineStr">
        <is>
          <t>Huambo</t>
        </is>
      </c>
      <c r="E103" s="39" t="inlineStr">
        <is>
          <t>Pastor Licenciado</t>
        </is>
      </c>
      <c r="F103" s="24" t="inlineStr">
        <is>
          <t>924700005</t>
        </is>
      </c>
      <c r="G103" s="40" t="n">
        <v>4.35</v>
      </c>
      <c r="H103" s="40" t="n">
        <v>4.4</v>
      </c>
      <c r="I103" s="40" t="n">
        <v>4.3</v>
      </c>
      <c r="J103" s="40" t="n">
        <v>4.45</v>
      </c>
      <c r="K103" s="40" t="n">
        <v>4.35</v>
      </c>
      <c r="L103" s="27">
        <f>ROUND((G103*11 + H103*11 + I103*5 + J103*8 + K103*16), 0)</f>
        <v/>
      </c>
      <c r="M103" s="25">
        <f>ROUND(AVERAGE(G103:K103), 2)</f>
        <v/>
      </c>
      <c r="N103" s="11">
        <f>IF(M103&gt;=4.5,"Excelente (E)", IF(M103&gt;=3.5,"Muito Bom (MB)", IF(M103&gt;=2.5,"Bom (B)", IF(M103&gt;=1.5,"Regular (R)","Deficiente (D)"))))</f>
        <v/>
      </c>
      <c r="O103" s="29" t="inlineStr">
        <is>
          <t>Concluído</t>
        </is>
      </c>
    </row>
    <row r="104" ht="20" customHeight="1">
      <c r="A104" s="18" t="n">
        <v>99</v>
      </c>
      <c r="B104" s="37" t="inlineStr">
        <is>
          <t>Pr. Nicolau Jacob Soma</t>
        </is>
      </c>
      <c r="C104" s="37" t="inlineStr">
        <is>
          <t>Huambo</t>
        </is>
      </c>
      <c r="D104" s="18" t="inlineStr">
        <is>
          <t>Huambo</t>
        </is>
      </c>
      <c r="E104" s="37" t="inlineStr">
        <is>
          <t>Pastor Licenciado</t>
        </is>
      </c>
      <c r="F104" s="18" t="inlineStr">
        <is>
          <t>924700006</t>
        </is>
      </c>
      <c r="G104" s="38" t="n">
        <v>4.5</v>
      </c>
      <c r="H104" s="38" t="n">
        <v>4.55</v>
      </c>
      <c r="I104" s="38" t="n">
        <v>4.45</v>
      </c>
      <c r="J104" s="38" t="n">
        <v>4.6</v>
      </c>
      <c r="K104" s="38" t="n">
        <v>4.5</v>
      </c>
      <c r="L104" s="21">
        <f>ROUND((G104*11 + H104*11 + I104*5 + J104*8 + K104*16), 0)</f>
        <v/>
      </c>
      <c r="M104" s="19">
        <f>ROUND(AVERAGE(G104:K104), 2)</f>
        <v/>
      </c>
      <c r="N104" s="11">
        <f>IF(M104&gt;=4.5,"Excelente (E)", IF(M104&gt;=3.5,"Muito Bom (MB)", IF(M104&gt;=2.5,"Bom (B)", IF(M104&gt;=1.5,"Regular (R)","Deficiente (D)"))))</f>
        <v/>
      </c>
      <c r="O104" s="28" t="inlineStr">
        <is>
          <t>Concluído</t>
        </is>
      </c>
    </row>
    <row r="105" ht="20" customHeight="1">
      <c r="A105" s="24" t="n">
        <v>100</v>
      </c>
      <c r="B105" s="39" t="inlineStr">
        <is>
          <t>Pr. Eugénio Capiñgala Manuel</t>
        </is>
      </c>
      <c r="C105" s="39" t="inlineStr">
        <is>
          <t>Missão Centro</t>
        </is>
      </c>
      <c r="D105" s="24" t="inlineStr">
        <is>
          <t>Huambo</t>
        </is>
      </c>
      <c r="E105" s="39" t="inlineStr">
        <is>
          <t>Pastor Departamental</t>
        </is>
      </c>
      <c r="F105" s="24" t="inlineStr">
        <is>
          <t>927585600</t>
        </is>
      </c>
      <c r="G105" s="40" t="n">
        <v>4.65</v>
      </c>
      <c r="H105" s="40" t="n">
        <v>4.7</v>
      </c>
      <c r="I105" s="40" t="n">
        <v>4.6</v>
      </c>
      <c r="J105" s="40" t="n">
        <v>4.75</v>
      </c>
      <c r="K105" s="40" t="n">
        <v>4.65</v>
      </c>
      <c r="L105" s="27">
        <f>ROUND((G105*11 + H105*11 + I105*5 + J105*8 + K105*16), 0)</f>
        <v/>
      </c>
      <c r="M105" s="25">
        <f>ROUND(AVERAGE(G105:K105), 2)</f>
        <v/>
      </c>
      <c r="N105" s="11">
        <f>IF(M105&gt;=4.5,"Excelente (E)", IF(M105&gt;=3.5,"Muito Bom (MB)", IF(M105&gt;=2.5,"Bom (B)", IF(M105&gt;=1.5,"Regular (R)","Deficiente (D)"))))</f>
        <v/>
      </c>
      <c r="O105" s="29" t="inlineStr">
        <is>
          <t>Concluído</t>
        </is>
      </c>
    </row>
    <row r="106" ht="26" customHeight="1">
      <c r="A106" s="41" t="inlineStr">
        <is>
          <t>MÉDIA GERAL DA MISSÃO</t>
        </is>
      </c>
      <c r="B106" s="69" t="n"/>
      <c r="C106" s="69" t="n"/>
      <c r="D106" s="69" t="n"/>
      <c r="E106" s="69" t="n"/>
      <c r="F106" s="68" t="n"/>
      <c r="G106" s="34">
        <f>AVERAGE(G6:G105)</f>
        <v/>
      </c>
      <c r="H106" s="34">
        <f>AVERAGE(H6:H105)</f>
        <v/>
      </c>
      <c r="I106" s="34">
        <f>AVERAGE(I6:I105)</f>
        <v/>
      </c>
      <c r="J106" s="34">
        <f>AVERAGE(J6:J105)</f>
        <v/>
      </c>
      <c r="K106" s="34">
        <f>AVERAGE(K6:K105)</f>
        <v/>
      </c>
      <c r="L106" s="34">
        <f>AVERAGE(L6:L105)</f>
        <v/>
      </c>
      <c r="M106" s="34">
        <f>AVERAGE(M6:M105)</f>
        <v/>
      </c>
      <c r="N106" s="32">
        <f>IF(M106&gt;=4.5,"Excelente (E)", IF(M106&gt;=3.5,"Muito Bom (MB)", IF(M106&gt;=2.5,"Bom (B)", IF(M106&gt;=1.5,"Regular (R)","Deficiente (D)"))))</f>
        <v/>
      </c>
      <c r="O106" s="32" t="inlineStr">
        <is>
          <t>100% Geral</t>
        </is>
      </c>
    </row>
    <row r="108" ht="22" customHeight="1">
      <c r="A108" s="35" t="inlineStr">
        <is>
          <t>MCASD 2026 PREMIUM EDITION | DESENVOLVIDO POR VALENTINO CANGUELE</t>
        </is>
      </c>
    </row>
  </sheetData>
  <autoFilter ref="A4:O105"/>
  <mergeCells count="4">
    <mergeCell ref="A106:F106"/>
    <mergeCell ref="A1:O1"/>
    <mergeCell ref="A108:O108"/>
    <mergeCell ref="A2:O2"/>
  </mergeCells>
  <conditionalFormatting sqref="M6:M105">
    <cfRule type="cellIs" priority="1" operator="greaterThanOrEqual" dxfId="0" stopIfTrue="1">
      <formula>4.5</formula>
    </cfRule>
    <cfRule type="cellIs" priority="2" operator="between" dxfId="1" stopIfTrue="1">
      <formula>3.5</formula>
      <formula>4.49</formula>
    </cfRule>
    <cfRule type="cellIs" priority="3" operator="between" dxfId="2" stopIfTrue="1">
      <formula>2.5</formula>
      <formula>3.49</formula>
    </cfRule>
    <cfRule type="cellIs" priority="4" operator="between" dxfId="3" stopIfTrue="1">
      <formula>1.5</formula>
      <formula>2.49</formula>
    </cfRule>
    <cfRule type="cellIs" priority="5" operator="lessThan" dxfId="4" stopIfTrue="1">
      <formula>1.5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H88"/>
  <sheetViews>
    <sheetView showGridLines="1" workbookViewId="0">
      <selection activeCell="A1" sqref="A1"/>
    </sheetView>
  </sheetViews>
  <sheetFormatPr baseColWidth="8" defaultRowHeight="15"/>
  <cols>
    <col width="35" customWidth="1" min="1" max="1"/>
    <col width="20" customWidth="1" min="2" max="2"/>
    <col width="10" customWidth="1" min="3" max="3"/>
    <col width="10" customWidth="1" min="4" max="4"/>
    <col width="10" customWidth="1" min="5" max="5"/>
    <col width="10" customWidth="1" min="6" max="6"/>
    <col width="10" customWidth="1" min="7" max="7"/>
    <col width="20" customWidth="1" min="8" max="8"/>
  </cols>
  <sheetData>
    <row r="1" ht="42" customHeight="1">
      <c r="A1" s="1" t="inlineStr">
        <is>
          <t>FICHA DE AVALIAÇÃO PASTORAL - MCASD 2026</t>
        </is>
      </c>
    </row>
    <row r="3">
      <c r="A3" s="8" t="inlineStr">
        <is>
          <t>SELEÇÃO DO PASTOR:</t>
        </is>
      </c>
      <c r="B3" s="68" t="n"/>
      <c r="C3" s="10" t="inlineStr">
        <is>
          <t>Pr. Enoque Paulino</t>
        </is>
      </c>
      <c r="D3" s="69" t="n"/>
      <c r="E3" s="68" t="n"/>
      <c r="F3" s="42" t="inlineStr">
        <is>
          <t>RESUMO DA AVALIAÇÃO</t>
        </is>
      </c>
      <c r="G3" s="69" t="n"/>
      <c r="H3" s="68" t="n"/>
    </row>
    <row r="4">
      <c r="A4" s="8" t="inlineStr">
        <is>
          <t>DISTRITO / FUNÇÃO:</t>
        </is>
      </c>
      <c r="B4" s="68" t="n"/>
      <c r="C4" s="12">
        <f>VLOOKUP(C3, '📋 Avaliação Pastoral (Geral)'!$B$6:$O$105, 2, FALSE)</f>
        <v/>
      </c>
      <c r="D4" s="69" t="n"/>
      <c r="E4" s="68" t="n"/>
      <c r="F4" s="43" t="inlineStr">
        <is>
          <t>Pontuação Total:</t>
        </is>
      </c>
      <c r="G4" s="11">
        <f>SUM(H14:H24, H29:H39, H44:H48, H58:H65, H70:H85)</f>
        <v/>
      </c>
      <c r="H4" s="68" t="n"/>
    </row>
    <row r="5">
      <c r="A5" s="8" t="inlineStr">
        <is>
          <t>PROVÍNCIA:</t>
        </is>
      </c>
      <c r="B5" s="68" t="n"/>
      <c r="C5" s="12">
        <f>VLOOKUP(C3, '📋 Avaliação Pastoral (Geral)'!$B$6:$O$105, 3, FALSE)</f>
        <v/>
      </c>
      <c r="D5" s="69" t="n"/>
      <c r="E5" s="68" t="n"/>
      <c r="F5" s="44" t="inlineStr">
        <is>
          <t>Pontuação Máxima:</t>
        </is>
      </c>
      <c r="G5" s="45" t="inlineStr">
        <is>
          <t>255 PONTOS</t>
        </is>
      </c>
      <c r="H5" s="68" t="n"/>
    </row>
    <row r="6">
      <c r="A6" s="8" t="inlineStr">
        <is>
          <t>LICENÇA / CARGO:</t>
        </is>
      </c>
      <c r="B6" s="68" t="n"/>
      <c r="C6" s="12">
        <f>VLOOKUP(C3, '📋 Avaliação Pastoral (Geral)'!$B$6:$O$105, 4, FALSE)</f>
        <v/>
      </c>
      <c r="D6" s="69" t="n"/>
      <c r="E6" s="68" t="n"/>
      <c r="F6" s="43" t="inlineStr">
        <is>
          <t>Média Geral Final:</t>
        </is>
      </c>
      <c r="G6" s="46">
        <f>ROUND(AVERAGE(H14:H24, H29:H39, H44:H48, H58:H65, H70:H85), 2)</f>
        <v/>
      </c>
      <c r="H6" s="68" t="n"/>
    </row>
    <row r="7">
      <c r="A7" s="8" t="inlineStr">
        <is>
          <t>CONTACTO:</t>
        </is>
      </c>
      <c r="B7" s="68" t="n"/>
      <c r="C7" s="12">
        <f>VLOOKUP(C3, '📋 Avaliação Pastoral (Geral)'!$B$6:$O$105, 5, FALSE)</f>
        <v/>
      </c>
      <c r="D7" s="69" t="n"/>
      <c r="E7" s="68" t="n"/>
      <c r="F7" s="43" t="inlineStr">
        <is>
          <t>CLASSIFICAÇÃO:</t>
        </is>
      </c>
      <c r="G7" s="11">
        <f>IF(G6&gt;=4.5,"EXCELENTE (E)", IF(G6&gt;=3.5,"MUITO BOM (MB)", IF(G6&gt;=2.5,"BOM (B)", IF(G6&gt;=1.5,"REGULAR (R)","DEFICIENTE (D)"))))</f>
        <v/>
      </c>
      <c r="H7" s="68" t="n"/>
    </row>
    <row r="9" ht="55" customHeight="1">
      <c r="A9" s="47" t="inlineStr">
        <is>
          <t>"O pensamento de que precisamos melhorar cada dia nos inspira a buscar o melhor de nós mesmos. Tal crescimento não é possível sem uma visão clara de nossos pontos fortes e dos que precisam ser melhorados. O instrumento mais eficiente para este diagnóstico, sem dúvida, é a avaliação contínua. Por isso queremos contar com a colaboração do (a) irmão (ã) no sentido de dar o seu parecer avaliativo sobre o trabalho pastoral. Obrigado por colaborar para que o ministério do seu pastor seja mais eficiente."</t>
        </is>
      </c>
    </row>
    <row r="10" ht="20" customHeight="1">
      <c r="A10" s="48" t="inlineStr">
        <is>
          <t>ESCALA DE AVALIAÇÃO: 1 = Deficiente (D)  |  2 = Regular (R)  |  3 = Bom (B)  |  4 = Muito Bom (MB)  |  5 = Excelente (E)</t>
        </is>
      </c>
    </row>
    <row r="12" ht="24" customHeight="1">
      <c r="A12" s="7" t="inlineStr">
        <is>
          <t>1. ASSISTÊNCIA PASTORAL</t>
        </is>
      </c>
    </row>
    <row r="13" ht="22" customHeight="1">
      <c r="A13" s="49" t="inlineStr">
        <is>
          <t>Nº  |  CRITÉRIO DE AVALIAÇÃO</t>
        </is>
      </c>
      <c r="B13" s="68" t="n"/>
      <c r="C13" s="15" t="inlineStr">
        <is>
          <t>D (1)</t>
        </is>
      </c>
      <c r="D13" s="15" t="inlineStr">
        <is>
          <t>R (2)</t>
        </is>
      </c>
      <c r="E13" s="15" t="inlineStr">
        <is>
          <t>B (3)</t>
        </is>
      </c>
      <c r="F13" s="15" t="inlineStr">
        <is>
          <t>MB (4)</t>
        </is>
      </c>
      <c r="G13" s="15" t="inlineStr">
        <is>
          <t>E (5)</t>
        </is>
      </c>
      <c r="H13" s="15" t="inlineStr">
        <is>
          <t>NOTA ATRIBUÍDA</t>
        </is>
      </c>
    </row>
    <row r="14" ht="20" customHeight="1">
      <c r="A14" s="50" t="inlineStr">
        <is>
          <t>1.  Pontualidade nos Cultos e Reuniões</t>
        </is>
      </c>
      <c r="B14" s="68" t="n"/>
      <c r="C14" s="51" t="n">
        <v>1</v>
      </c>
      <c r="D14" s="51" t="n">
        <v>2</v>
      </c>
      <c r="E14" s="51" t="n">
        <v>3</v>
      </c>
      <c r="F14" s="51" t="n">
        <v>4</v>
      </c>
      <c r="G14" s="51" t="n">
        <v>5</v>
      </c>
      <c r="H14" s="21" t="n">
        <v>5</v>
      </c>
    </row>
    <row r="15" ht="20" customHeight="1">
      <c r="A15" s="52" t="inlineStr">
        <is>
          <t>2.  Visitação</t>
        </is>
      </c>
      <c r="B15" s="68" t="n"/>
      <c r="C15" s="53" t="n">
        <v>1</v>
      </c>
      <c r="D15" s="53" t="n">
        <v>2</v>
      </c>
      <c r="E15" s="53" t="n">
        <v>3</v>
      </c>
      <c r="F15" s="53" t="n">
        <v>4</v>
      </c>
      <c r="G15" s="53" t="n">
        <v>5</v>
      </c>
      <c r="H15" s="27" t="n">
        <v>5</v>
      </c>
    </row>
    <row r="16" ht="20" customHeight="1">
      <c r="A16" s="50" t="inlineStr">
        <is>
          <t>3.  Aconselhamento</t>
        </is>
      </c>
      <c r="B16" s="68" t="n"/>
      <c r="C16" s="51" t="n">
        <v>1</v>
      </c>
      <c r="D16" s="51" t="n">
        <v>2</v>
      </c>
      <c r="E16" s="51" t="n">
        <v>3</v>
      </c>
      <c r="F16" s="51" t="n">
        <v>4</v>
      </c>
      <c r="G16" s="51" t="n">
        <v>5</v>
      </c>
      <c r="H16" s="21" t="n">
        <v>5</v>
      </c>
    </row>
    <row r="17" ht="20" customHeight="1">
      <c r="A17" s="52" t="inlineStr">
        <is>
          <t>4.  Espiritualidade refletida</t>
        </is>
      </c>
      <c r="B17" s="68" t="n"/>
      <c r="C17" s="53" t="n">
        <v>1</v>
      </c>
      <c r="D17" s="53" t="n">
        <v>2</v>
      </c>
      <c r="E17" s="53" t="n">
        <v>3</v>
      </c>
      <c r="F17" s="53" t="n">
        <v>4</v>
      </c>
      <c r="G17" s="53" t="n">
        <v>5</v>
      </c>
      <c r="H17" s="27" t="n">
        <v>5</v>
      </c>
    </row>
    <row r="18" ht="20" customHeight="1">
      <c r="A18" s="50" t="inlineStr">
        <is>
          <t>5.  Freqüência às atividades espirituais da igreja</t>
        </is>
      </c>
      <c r="B18" s="68" t="n"/>
      <c r="C18" s="51" t="n">
        <v>1</v>
      </c>
      <c r="D18" s="51" t="n">
        <v>2</v>
      </c>
      <c r="E18" s="51" t="n">
        <v>3</v>
      </c>
      <c r="F18" s="51" t="n">
        <v>4</v>
      </c>
      <c r="G18" s="51" t="n">
        <v>5</v>
      </c>
      <c r="H18" s="21" t="n">
        <v>5</v>
      </c>
    </row>
    <row r="19" ht="20" customHeight="1">
      <c r="A19" s="52" t="inlineStr">
        <is>
          <t>6.  Freqüência às atividades sociais da igreja</t>
        </is>
      </c>
      <c r="B19" s="68" t="n"/>
      <c r="C19" s="53" t="n">
        <v>1</v>
      </c>
      <c r="D19" s="53" t="n">
        <v>2</v>
      </c>
      <c r="E19" s="53" t="n">
        <v>3</v>
      </c>
      <c r="F19" s="53" t="n">
        <v>4</v>
      </c>
      <c r="G19" s="53" t="n">
        <v>5</v>
      </c>
      <c r="H19" s="27" t="n">
        <v>5</v>
      </c>
    </row>
    <row r="20" ht="20" customHeight="1">
      <c r="A20" s="50" t="inlineStr">
        <is>
          <t>7.  Apoio às atividades dos Jovens</t>
        </is>
      </c>
      <c r="B20" s="68" t="n"/>
      <c r="C20" s="51" t="n">
        <v>1</v>
      </c>
      <c r="D20" s="51" t="n">
        <v>2</v>
      </c>
      <c r="E20" s="51" t="n">
        <v>3</v>
      </c>
      <c r="F20" s="51" t="n">
        <v>4</v>
      </c>
      <c r="G20" s="51" t="n">
        <v>5</v>
      </c>
      <c r="H20" s="21" t="n">
        <v>5</v>
      </c>
    </row>
    <row r="21" ht="20" customHeight="1">
      <c r="A21" s="52" t="inlineStr">
        <is>
          <t>8.  Habilidade em resolver conflitos</t>
        </is>
      </c>
      <c r="B21" s="68" t="n"/>
      <c r="C21" s="53" t="n">
        <v>1</v>
      </c>
      <c r="D21" s="53" t="n">
        <v>2</v>
      </c>
      <c r="E21" s="53" t="n">
        <v>3</v>
      </c>
      <c r="F21" s="53" t="n">
        <v>4</v>
      </c>
      <c r="G21" s="53" t="n">
        <v>5</v>
      </c>
      <c r="H21" s="27" t="n">
        <v>5</v>
      </c>
    </row>
    <row r="22" ht="20" customHeight="1">
      <c r="A22" s="50" t="inlineStr">
        <is>
          <t>9.  Estudioso e com vontade de Aprender</t>
        </is>
      </c>
      <c r="B22" s="68" t="n"/>
      <c r="C22" s="51" t="n">
        <v>1</v>
      </c>
      <c r="D22" s="51" t="n">
        <v>2</v>
      </c>
      <c r="E22" s="51" t="n">
        <v>3</v>
      </c>
      <c r="F22" s="51" t="n">
        <v>4</v>
      </c>
      <c r="G22" s="51" t="n">
        <v>5</v>
      </c>
      <c r="H22" s="21" t="n">
        <v>5</v>
      </c>
    </row>
    <row r="23" ht="20" customHeight="1">
      <c r="A23" s="52" t="inlineStr">
        <is>
          <t>10.  Preparo Intelectual</t>
        </is>
      </c>
      <c r="B23" s="68" t="n"/>
      <c r="C23" s="53" t="n">
        <v>1</v>
      </c>
      <c r="D23" s="53" t="n">
        <v>2</v>
      </c>
      <c r="E23" s="53" t="n">
        <v>3</v>
      </c>
      <c r="F23" s="53" t="n">
        <v>4</v>
      </c>
      <c r="G23" s="53" t="n">
        <v>5</v>
      </c>
      <c r="H23" s="27" t="n">
        <v>5</v>
      </c>
    </row>
    <row r="24" ht="20" customHeight="1">
      <c r="A24" s="50" t="inlineStr">
        <is>
          <t>11.  Demonstra Vocação Pastoral</t>
        </is>
      </c>
      <c r="B24" s="68" t="n"/>
      <c r="C24" s="51" t="n">
        <v>1</v>
      </c>
      <c r="D24" s="51" t="n">
        <v>2</v>
      </c>
      <c r="E24" s="51" t="n">
        <v>3</v>
      </c>
      <c r="F24" s="51" t="n">
        <v>4</v>
      </c>
      <c r="G24" s="51" t="n">
        <v>5</v>
      </c>
      <c r="H24" s="21" t="n">
        <v>5</v>
      </c>
    </row>
    <row r="25" ht="22" customHeight="1">
      <c r="A25" s="41" t="inlineStr">
        <is>
          <t>MÉDIA DA ÁREA (1. Assistência Pastoral):</t>
        </is>
      </c>
      <c r="B25" s="69" t="n"/>
      <c r="C25" s="69" t="n"/>
      <c r="D25" s="69" t="n"/>
      <c r="E25" s="69" t="n"/>
      <c r="F25" s="69" t="n"/>
      <c r="G25" s="68" t="n"/>
      <c r="H25" s="34">
        <f>ROUND(AVERAGE(H14:H24), 2)</f>
        <v/>
      </c>
    </row>
    <row r="27" ht="24" customHeight="1">
      <c r="A27" s="7" t="inlineStr">
        <is>
          <t>2. RELACIONAMENTO PESSOAL</t>
        </is>
      </c>
    </row>
    <row r="28" ht="22" customHeight="1">
      <c r="A28" s="49" t="inlineStr">
        <is>
          <t>Nº  |  CRITÉRIO DE AVALIAÇÃO</t>
        </is>
      </c>
      <c r="B28" s="68" t="n"/>
      <c r="C28" s="15" t="inlineStr">
        <is>
          <t>D (1)</t>
        </is>
      </c>
      <c r="D28" s="15" t="inlineStr">
        <is>
          <t>R (2)</t>
        </is>
      </c>
      <c r="E28" s="15" t="inlineStr">
        <is>
          <t>B (3)</t>
        </is>
      </c>
      <c r="F28" s="15" t="inlineStr">
        <is>
          <t>MB (4)</t>
        </is>
      </c>
      <c r="G28" s="15" t="inlineStr">
        <is>
          <t>E (5)</t>
        </is>
      </c>
      <c r="H28" s="15" t="inlineStr">
        <is>
          <t>NOTA ATRIBUÍDA</t>
        </is>
      </c>
    </row>
    <row r="29" ht="20" customHeight="1">
      <c r="A29" s="52" t="inlineStr">
        <is>
          <t>1.  Cuidado na Higiene Pessoal</t>
        </is>
      </c>
      <c r="B29" s="68" t="n"/>
      <c r="C29" s="53" t="n">
        <v>1</v>
      </c>
      <c r="D29" s="53" t="n">
        <v>2</v>
      </c>
      <c r="E29" s="53" t="n">
        <v>3</v>
      </c>
      <c r="F29" s="53" t="n">
        <v>4</v>
      </c>
      <c r="G29" s="53" t="n">
        <v>5</v>
      </c>
      <c r="H29" s="27" t="n">
        <v>5</v>
      </c>
    </row>
    <row r="30" ht="20" customHeight="1">
      <c r="A30" s="50" t="inlineStr">
        <is>
          <t>2.  Vestir-se Adequadamente</t>
        </is>
      </c>
      <c r="B30" s="68" t="n"/>
      <c r="C30" s="51" t="n">
        <v>1</v>
      </c>
      <c r="D30" s="51" t="n">
        <v>2</v>
      </c>
      <c r="E30" s="51" t="n">
        <v>3</v>
      </c>
      <c r="F30" s="51" t="n">
        <v>4</v>
      </c>
      <c r="G30" s="51" t="n">
        <v>5</v>
      </c>
      <c r="H30" s="21" t="n">
        <v>5</v>
      </c>
    </row>
    <row r="31" ht="20" customHeight="1">
      <c r="A31" s="52" t="inlineStr">
        <is>
          <t>3.  Representa bem a igreja na comunidade</t>
        </is>
      </c>
      <c r="B31" s="68" t="n"/>
      <c r="C31" s="53" t="n">
        <v>1</v>
      </c>
      <c r="D31" s="53" t="n">
        <v>2</v>
      </c>
      <c r="E31" s="53" t="n">
        <v>3</v>
      </c>
      <c r="F31" s="53" t="n">
        <v>4</v>
      </c>
      <c r="G31" s="53" t="n">
        <v>5</v>
      </c>
      <c r="H31" s="27" t="n">
        <v>5</v>
      </c>
    </row>
    <row r="32" ht="20" customHeight="1">
      <c r="A32" s="50" t="inlineStr">
        <is>
          <t>4.  Atenção e Cortesia no trato com os membros</t>
        </is>
      </c>
      <c r="B32" s="68" t="n"/>
      <c r="C32" s="51" t="n">
        <v>1</v>
      </c>
      <c r="D32" s="51" t="n">
        <v>2</v>
      </c>
      <c r="E32" s="51" t="n">
        <v>3</v>
      </c>
      <c r="F32" s="51" t="n">
        <v>4</v>
      </c>
      <c r="G32" s="51" t="n">
        <v>5</v>
      </c>
      <c r="H32" s="21" t="n">
        <v>5</v>
      </c>
    </row>
    <row r="33" ht="20" customHeight="1">
      <c r="A33" s="52" t="inlineStr">
        <is>
          <t>5.  Entusiasmo e bom humor</t>
        </is>
      </c>
      <c r="B33" s="68" t="n"/>
      <c r="C33" s="53" t="n">
        <v>1</v>
      </c>
      <c r="D33" s="53" t="n">
        <v>2</v>
      </c>
      <c r="E33" s="53" t="n">
        <v>3</v>
      </c>
      <c r="F33" s="53" t="n">
        <v>4</v>
      </c>
      <c r="G33" s="53" t="n">
        <v>5</v>
      </c>
      <c r="H33" s="27" t="n">
        <v>5</v>
      </c>
    </row>
    <row r="34" ht="20" customHeight="1">
      <c r="A34" s="50" t="inlineStr">
        <is>
          <t>6.  Confiabilidade</t>
        </is>
      </c>
      <c r="B34" s="68" t="n"/>
      <c r="C34" s="51" t="n">
        <v>1</v>
      </c>
      <c r="D34" s="51" t="n">
        <v>2</v>
      </c>
      <c r="E34" s="51" t="n">
        <v>3</v>
      </c>
      <c r="F34" s="51" t="n">
        <v>4</v>
      </c>
      <c r="G34" s="51" t="n">
        <v>5</v>
      </c>
      <c r="H34" s="21" t="n">
        <v>5</v>
      </c>
    </row>
    <row r="35" ht="20" customHeight="1">
      <c r="A35" s="52" t="inlineStr">
        <is>
          <t>7.  Demonstração de Amizade</t>
        </is>
      </c>
      <c r="B35" s="68" t="n"/>
      <c r="C35" s="53" t="n">
        <v>1</v>
      </c>
      <c r="D35" s="53" t="n">
        <v>2</v>
      </c>
      <c r="E35" s="53" t="n">
        <v>3</v>
      </c>
      <c r="F35" s="53" t="n">
        <v>4</v>
      </c>
      <c r="G35" s="53" t="n">
        <v>5</v>
      </c>
      <c r="H35" s="27" t="n">
        <v>5</v>
      </c>
    </row>
    <row r="36" ht="20" customHeight="1">
      <c r="A36" s="50" t="inlineStr">
        <is>
          <t>8.  Humildade</t>
        </is>
      </c>
      <c r="B36" s="68" t="n"/>
      <c r="C36" s="51" t="n">
        <v>1</v>
      </c>
      <c r="D36" s="51" t="n">
        <v>2</v>
      </c>
      <c r="E36" s="51" t="n">
        <v>3</v>
      </c>
      <c r="F36" s="51" t="n">
        <v>4</v>
      </c>
      <c r="G36" s="51" t="n">
        <v>5</v>
      </c>
      <c r="H36" s="21" t="n">
        <v>5</v>
      </c>
    </row>
    <row r="37" ht="20" customHeight="1">
      <c r="A37" s="52" t="inlineStr">
        <is>
          <t>9.  Cortesia</t>
        </is>
      </c>
      <c r="B37" s="68" t="n"/>
      <c r="C37" s="53" t="n">
        <v>1</v>
      </c>
      <c r="D37" s="53" t="n">
        <v>2</v>
      </c>
      <c r="E37" s="53" t="n">
        <v>3</v>
      </c>
      <c r="F37" s="53" t="n">
        <v>4</v>
      </c>
      <c r="G37" s="53" t="n">
        <v>5</v>
      </c>
      <c r="H37" s="27" t="n">
        <v>5</v>
      </c>
    </row>
    <row r="38" ht="20" customHeight="1">
      <c r="A38" s="50" t="inlineStr">
        <is>
          <t>10.  Otimismo</t>
        </is>
      </c>
      <c r="B38" s="68" t="n"/>
      <c r="C38" s="51" t="n">
        <v>1</v>
      </c>
      <c r="D38" s="51" t="n">
        <v>2</v>
      </c>
      <c r="E38" s="51" t="n">
        <v>3</v>
      </c>
      <c r="F38" s="51" t="n">
        <v>4</v>
      </c>
      <c r="G38" s="51" t="n">
        <v>5</v>
      </c>
      <c r="H38" s="21" t="n">
        <v>5</v>
      </c>
    </row>
    <row r="39" ht="20" customHeight="1">
      <c r="A39" s="52" t="inlineStr">
        <is>
          <t>11.  Maturidade e Responsabilidade</t>
        </is>
      </c>
      <c r="B39" s="68" t="n"/>
      <c r="C39" s="53" t="n">
        <v>1</v>
      </c>
      <c r="D39" s="53" t="n">
        <v>2</v>
      </c>
      <c r="E39" s="53" t="n">
        <v>3</v>
      </c>
      <c r="F39" s="53" t="n">
        <v>4</v>
      </c>
      <c r="G39" s="53" t="n">
        <v>5</v>
      </c>
      <c r="H39" s="27" t="n">
        <v>5</v>
      </c>
    </row>
    <row r="40" ht="22" customHeight="1">
      <c r="A40" s="41" t="inlineStr">
        <is>
          <t>MÉDIA DA ÁREA (2. Relacionamento Pessoal):</t>
        </is>
      </c>
      <c r="B40" s="69" t="n"/>
      <c r="C40" s="69" t="n"/>
      <c r="D40" s="69" t="n"/>
      <c r="E40" s="69" t="n"/>
      <c r="F40" s="69" t="n"/>
      <c r="G40" s="68" t="n"/>
      <c r="H40" s="34">
        <f>ROUND(AVERAGE(H29:H39), 2)</f>
        <v/>
      </c>
    </row>
    <row r="42" ht="24" customHeight="1">
      <c r="A42" s="7" t="inlineStr">
        <is>
          <t>3. FAMÍLIA PASTORAL</t>
        </is>
      </c>
    </row>
    <row r="43" ht="22" customHeight="1">
      <c r="A43" s="49" t="inlineStr">
        <is>
          <t>Nº  |  CRITÉRIO DE AVALIAÇÃO</t>
        </is>
      </c>
      <c r="B43" s="68" t="n"/>
      <c r="C43" s="15" t="inlineStr">
        <is>
          <t>D (1)</t>
        </is>
      </c>
      <c r="D43" s="15" t="inlineStr">
        <is>
          <t>R (2)</t>
        </is>
      </c>
      <c r="E43" s="15" t="inlineStr">
        <is>
          <t>B (3)</t>
        </is>
      </c>
      <c r="F43" s="15" t="inlineStr">
        <is>
          <t>MB (4)</t>
        </is>
      </c>
      <c r="G43" s="15" t="inlineStr">
        <is>
          <t>E (5)</t>
        </is>
      </c>
      <c r="H43" s="15" t="inlineStr">
        <is>
          <t>NOTA ATRIBUÍDA</t>
        </is>
      </c>
    </row>
    <row r="44" ht="20" customHeight="1">
      <c r="A44" s="50" t="inlineStr">
        <is>
          <t>1.  Relacionamento com a família</t>
        </is>
      </c>
      <c r="B44" s="68" t="n"/>
      <c r="C44" s="51" t="n">
        <v>1</v>
      </c>
      <c r="D44" s="51" t="n">
        <v>2</v>
      </c>
      <c r="E44" s="51" t="n">
        <v>3</v>
      </c>
      <c r="F44" s="51" t="n">
        <v>4</v>
      </c>
      <c r="G44" s="51" t="n">
        <v>5</v>
      </c>
      <c r="H44" s="21" t="n">
        <v>5</v>
      </c>
    </row>
    <row r="45" ht="20" customHeight="1">
      <c r="A45" s="52" t="inlineStr">
        <is>
          <t>2.  Envolvimento da Esposa nas Atividades da Igreja</t>
        </is>
      </c>
      <c r="B45" s="68" t="n"/>
      <c r="C45" s="53" t="n">
        <v>1</v>
      </c>
      <c r="D45" s="53" t="n">
        <v>2</v>
      </c>
      <c r="E45" s="53" t="n">
        <v>3</v>
      </c>
      <c r="F45" s="53" t="n">
        <v>4</v>
      </c>
      <c r="G45" s="53" t="n">
        <v>5</v>
      </c>
      <c r="H45" s="27" t="n">
        <v>5</v>
      </c>
    </row>
    <row r="46" ht="20" customHeight="1">
      <c r="A46" s="50" t="inlineStr">
        <is>
          <t>3.  Testemunho da esposa com os princípios da Igreja</t>
        </is>
      </c>
      <c r="B46" s="68" t="n"/>
      <c r="C46" s="51" t="n">
        <v>1</v>
      </c>
      <c r="D46" s="51" t="n">
        <v>2</v>
      </c>
      <c r="E46" s="51" t="n">
        <v>3</v>
      </c>
      <c r="F46" s="51" t="n">
        <v>4</v>
      </c>
      <c r="G46" s="51" t="n">
        <v>5</v>
      </c>
      <c r="H46" s="21" t="n">
        <v>5</v>
      </c>
    </row>
    <row r="47" ht="20" customHeight="1">
      <c r="A47" s="52" t="inlineStr">
        <is>
          <t>4.  Testemunho dos Filhos</t>
        </is>
      </c>
      <c r="B47" s="68" t="n"/>
      <c r="C47" s="53" t="n">
        <v>1</v>
      </c>
      <c r="D47" s="53" t="n">
        <v>2</v>
      </c>
      <c r="E47" s="53" t="n">
        <v>3</v>
      </c>
      <c r="F47" s="53" t="n">
        <v>4</v>
      </c>
      <c r="G47" s="53" t="n">
        <v>5</v>
      </c>
      <c r="H47" s="27" t="n">
        <v>5</v>
      </c>
    </row>
    <row r="48" ht="20" customHeight="1">
      <c r="A48" s="50" t="inlineStr">
        <is>
          <t>5.  Administra bem as Finanças da Família</t>
        </is>
      </c>
      <c r="B48" s="68" t="n"/>
      <c r="C48" s="51" t="n">
        <v>1</v>
      </c>
      <c r="D48" s="51" t="n">
        <v>2</v>
      </c>
      <c r="E48" s="51" t="n">
        <v>3</v>
      </c>
      <c r="F48" s="51" t="n">
        <v>4</v>
      </c>
      <c r="G48" s="51" t="n">
        <v>5</v>
      </c>
      <c r="H48" s="21" t="n">
        <v>5</v>
      </c>
    </row>
    <row r="49" ht="22" customHeight="1">
      <c r="A49" s="41" t="inlineStr">
        <is>
          <t>MÉDIA DA ÁREA (3. Família Pastoral):</t>
        </is>
      </c>
      <c r="B49" s="69" t="n"/>
      <c r="C49" s="69" t="n"/>
      <c r="D49" s="69" t="n"/>
      <c r="E49" s="69" t="n"/>
      <c r="F49" s="69" t="n"/>
      <c r="G49" s="68" t="n"/>
      <c r="H49" s="34">
        <f>ROUND(AVERAGE(H44:H48), 2)</f>
        <v/>
      </c>
    </row>
    <row r="51" ht="22" customHeight="1">
      <c r="A51" s="54" t="inlineStr">
        <is>
          <t>COMENTÁRIOS E OBSERVAÇÕES SOBRE A FAMÍLIA PASTORAL:</t>
        </is>
      </c>
    </row>
    <row r="52" ht="20" customHeight="1">
      <c r="A52" s="55" t="inlineStr">
        <is>
          <t>____________________________________________________________________________________________________</t>
        </is>
      </c>
    </row>
    <row r="53" ht="20" customHeight="1">
      <c r="A53" s="55" t="inlineStr">
        <is>
          <t>____________________________________________________________________________________________________</t>
        </is>
      </c>
    </row>
    <row r="54" ht="20" customHeight="1">
      <c r="A54" s="55" t="inlineStr">
        <is>
          <t>____________________________________________________________________________________________________</t>
        </is>
      </c>
    </row>
    <row r="56" ht="24" customHeight="1">
      <c r="A56" s="7" t="inlineStr">
        <is>
          <t>4. SERMÕES</t>
        </is>
      </c>
    </row>
    <row r="57" ht="22" customHeight="1">
      <c r="A57" s="49" t="inlineStr">
        <is>
          <t>Nº  |  CRITÉRIO DE AVALIAÇÃO</t>
        </is>
      </c>
      <c r="B57" s="68" t="n"/>
      <c r="C57" s="15" t="inlineStr">
        <is>
          <t>D (1)</t>
        </is>
      </c>
      <c r="D57" s="15" t="inlineStr">
        <is>
          <t>R (2)</t>
        </is>
      </c>
      <c r="E57" s="15" t="inlineStr">
        <is>
          <t>B (3)</t>
        </is>
      </c>
      <c r="F57" s="15" t="inlineStr">
        <is>
          <t>MB (4)</t>
        </is>
      </c>
      <c r="G57" s="15" t="inlineStr">
        <is>
          <t>E (5)</t>
        </is>
      </c>
      <c r="H57" s="15" t="inlineStr">
        <is>
          <t>NOTA ATRIBUÍDA</t>
        </is>
      </c>
    </row>
    <row r="58" ht="20" customHeight="1">
      <c r="A58" s="50" t="inlineStr">
        <is>
          <t>1.  Claros e Convincentes</t>
        </is>
      </c>
      <c r="B58" s="68" t="n"/>
      <c r="C58" s="51" t="n">
        <v>1</v>
      </c>
      <c r="D58" s="51" t="n">
        <v>2</v>
      </c>
      <c r="E58" s="51" t="n">
        <v>3</v>
      </c>
      <c r="F58" s="51" t="n">
        <v>4</v>
      </c>
      <c r="G58" s="51" t="n">
        <v>5</v>
      </c>
      <c r="H58" s="21" t="n">
        <v>5</v>
      </c>
    </row>
    <row r="59" ht="20" customHeight="1">
      <c r="A59" s="52" t="inlineStr">
        <is>
          <t>2.  Cristocêntricos</t>
        </is>
      </c>
      <c r="B59" s="68" t="n"/>
      <c r="C59" s="53" t="n">
        <v>1</v>
      </c>
      <c r="D59" s="53" t="n">
        <v>2</v>
      </c>
      <c r="E59" s="53" t="n">
        <v>3</v>
      </c>
      <c r="F59" s="53" t="n">
        <v>4</v>
      </c>
      <c r="G59" s="53" t="n">
        <v>5</v>
      </c>
      <c r="H59" s="27" t="n">
        <v>5</v>
      </c>
    </row>
    <row r="60" ht="20" customHeight="1">
      <c r="A60" s="50" t="inlineStr">
        <is>
          <t>3.  Conteúdo adequado às necessidades dos membros</t>
        </is>
      </c>
      <c r="B60" s="68" t="n"/>
      <c r="C60" s="51" t="n">
        <v>1</v>
      </c>
      <c r="D60" s="51" t="n">
        <v>2</v>
      </c>
      <c r="E60" s="51" t="n">
        <v>3</v>
      </c>
      <c r="F60" s="51" t="n">
        <v>4</v>
      </c>
      <c r="G60" s="51" t="n">
        <v>5</v>
      </c>
      <c r="H60" s="21" t="n">
        <v>5</v>
      </c>
    </row>
    <row r="61" ht="20" customHeight="1">
      <c r="A61" s="52" t="inlineStr">
        <is>
          <t>4.  Bem organizados</t>
        </is>
      </c>
      <c r="B61" s="68" t="n"/>
      <c r="C61" s="53" t="n">
        <v>1</v>
      </c>
      <c r="D61" s="53" t="n">
        <v>2</v>
      </c>
      <c r="E61" s="53" t="n">
        <v>3</v>
      </c>
      <c r="F61" s="53" t="n">
        <v>4</v>
      </c>
      <c r="G61" s="53" t="n">
        <v>5</v>
      </c>
      <c r="H61" s="27" t="n">
        <v>5</v>
      </c>
    </row>
    <row r="62" ht="20" customHeight="1">
      <c r="A62" s="50" t="inlineStr">
        <is>
          <t>5.  Dentro do tempo</t>
        </is>
      </c>
      <c r="B62" s="68" t="n"/>
      <c r="C62" s="51" t="n">
        <v>1</v>
      </c>
      <c r="D62" s="51" t="n">
        <v>2</v>
      </c>
      <c r="E62" s="51" t="n">
        <v>3</v>
      </c>
      <c r="F62" s="51" t="n">
        <v>4</v>
      </c>
      <c r="G62" s="51" t="n">
        <v>5</v>
      </c>
      <c r="H62" s="21" t="n">
        <v>5</v>
      </c>
    </row>
    <row r="63" ht="20" customHeight="1">
      <c r="A63" s="52" t="inlineStr">
        <is>
          <t>6.  Espontâneo ao pregar</t>
        </is>
      </c>
      <c r="B63" s="68" t="n"/>
      <c r="C63" s="53" t="n">
        <v>1</v>
      </c>
      <c r="D63" s="53" t="n">
        <v>2</v>
      </c>
      <c r="E63" s="53" t="n">
        <v>3</v>
      </c>
      <c r="F63" s="53" t="n">
        <v>4</v>
      </c>
      <c r="G63" s="53" t="n">
        <v>5</v>
      </c>
      <c r="H63" s="27" t="n">
        <v>5</v>
      </c>
    </row>
    <row r="64" ht="20" customHeight="1">
      <c r="A64" s="50" t="inlineStr">
        <is>
          <t>7.  Pregador Equilibrado</t>
        </is>
      </c>
      <c r="B64" s="68" t="n"/>
      <c r="C64" s="51" t="n">
        <v>1</v>
      </c>
      <c r="D64" s="51" t="n">
        <v>2</v>
      </c>
      <c r="E64" s="51" t="n">
        <v>3</v>
      </c>
      <c r="F64" s="51" t="n">
        <v>4</v>
      </c>
      <c r="G64" s="51" t="n">
        <v>5</v>
      </c>
      <c r="H64" s="21" t="n">
        <v>5</v>
      </c>
    </row>
    <row r="65" ht="20" customHeight="1">
      <c r="A65" s="52" t="inlineStr">
        <is>
          <t>8.  Tem Plano (calendário) de pregação</t>
        </is>
      </c>
      <c r="B65" s="68" t="n"/>
      <c r="C65" s="53" t="n">
        <v>1</v>
      </c>
      <c r="D65" s="53" t="n">
        <v>2</v>
      </c>
      <c r="E65" s="53" t="n">
        <v>3</v>
      </c>
      <c r="F65" s="53" t="n">
        <v>4</v>
      </c>
      <c r="G65" s="53" t="n">
        <v>5</v>
      </c>
      <c r="H65" s="27" t="n">
        <v>5</v>
      </c>
    </row>
    <row r="66" ht="22" customHeight="1">
      <c r="A66" s="41" t="inlineStr">
        <is>
          <t>MÉDIA DA ÁREA (4. Sermões):</t>
        </is>
      </c>
      <c r="B66" s="69" t="n"/>
      <c r="C66" s="69" t="n"/>
      <c r="D66" s="69" t="n"/>
      <c r="E66" s="69" t="n"/>
      <c r="F66" s="69" t="n"/>
      <c r="G66" s="68" t="n"/>
      <c r="H66" s="34">
        <f>ROUND(AVERAGE(H58:H65), 2)</f>
        <v/>
      </c>
    </row>
    <row r="68" ht="24" customHeight="1">
      <c r="A68" s="7" t="inlineStr">
        <is>
          <t>5. ADMINISTRAÇÃO</t>
        </is>
      </c>
    </row>
    <row r="69" ht="22" customHeight="1">
      <c r="A69" s="49" t="inlineStr">
        <is>
          <t>Nº  |  CRITÉRIO DE AVALIAÇÃO</t>
        </is>
      </c>
      <c r="B69" s="68" t="n"/>
      <c r="C69" s="15" t="inlineStr">
        <is>
          <t>D (1)</t>
        </is>
      </c>
      <c r="D69" s="15" t="inlineStr">
        <is>
          <t>R (2)</t>
        </is>
      </c>
      <c r="E69" s="15" t="inlineStr">
        <is>
          <t>B (3)</t>
        </is>
      </c>
      <c r="F69" s="15" t="inlineStr">
        <is>
          <t>MB (4)</t>
        </is>
      </c>
      <c r="G69" s="15" t="inlineStr">
        <is>
          <t>E (5)</t>
        </is>
      </c>
      <c r="H69" s="15" t="inlineStr">
        <is>
          <t>NOTA ATRIBUÍDA</t>
        </is>
      </c>
    </row>
    <row r="70" ht="20" customHeight="1">
      <c r="A70" s="50" t="inlineStr">
        <is>
          <t>1.  Pontualidade</t>
        </is>
      </c>
      <c r="B70" s="68" t="n"/>
      <c r="C70" s="51" t="n">
        <v>1</v>
      </c>
      <c r="D70" s="51" t="n">
        <v>2</v>
      </c>
      <c r="E70" s="51" t="n">
        <v>3</v>
      </c>
      <c r="F70" s="51" t="n">
        <v>4</v>
      </c>
      <c r="G70" s="51" t="n">
        <v>5</v>
      </c>
      <c r="H70" s="21" t="n">
        <v>5</v>
      </c>
    </row>
    <row r="71" ht="20" customHeight="1">
      <c r="A71" s="52" t="inlineStr">
        <is>
          <t>2.  Organização</t>
        </is>
      </c>
      <c r="B71" s="68" t="n"/>
      <c r="C71" s="53" t="n">
        <v>1</v>
      </c>
      <c r="D71" s="53" t="n">
        <v>2</v>
      </c>
      <c r="E71" s="53" t="n">
        <v>3</v>
      </c>
      <c r="F71" s="53" t="n">
        <v>4</v>
      </c>
      <c r="G71" s="53" t="n">
        <v>5</v>
      </c>
      <c r="H71" s="27" t="n">
        <v>5</v>
      </c>
    </row>
    <row r="72" ht="20" customHeight="1">
      <c r="A72" s="50" t="inlineStr">
        <is>
          <t>3.  Imparcialidade</t>
        </is>
      </c>
      <c r="B72" s="68" t="n"/>
      <c r="C72" s="51" t="n">
        <v>1</v>
      </c>
      <c r="D72" s="51" t="n">
        <v>2</v>
      </c>
      <c r="E72" s="51" t="n">
        <v>3</v>
      </c>
      <c r="F72" s="51" t="n">
        <v>4</v>
      </c>
      <c r="G72" s="51" t="n">
        <v>5</v>
      </c>
      <c r="H72" s="21" t="n">
        <v>5</v>
      </c>
    </row>
    <row r="73" ht="20" customHeight="1">
      <c r="A73" s="52" t="inlineStr">
        <is>
          <t>4.  Iniciativa</t>
        </is>
      </c>
      <c r="B73" s="68" t="n"/>
      <c r="C73" s="53" t="n">
        <v>1</v>
      </c>
      <c r="D73" s="53" t="n">
        <v>2</v>
      </c>
      <c r="E73" s="53" t="n">
        <v>3</v>
      </c>
      <c r="F73" s="53" t="n">
        <v>4</v>
      </c>
      <c r="G73" s="53" t="n">
        <v>5</v>
      </c>
      <c r="H73" s="27" t="n">
        <v>5</v>
      </c>
    </row>
    <row r="74" ht="20" customHeight="1">
      <c r="A74" s="50" t="inlineStr">
        <is>
          <t>5.  Delegação de Responsabilidades</t>
        </is>
      </c>
      <c r="B74" s="68" t="n"/>
      <c r="C74" s="51" t="n">
        <v>1</v>
      </c>
      <c r="D74" s="51" t="n">
        <v>2</v>
      </c>
      <c r="E74" s="51" t="n">
        <v>3</v>
      </c>
      <c r="F74" s="51" t="n">
        <v>4</v>
      </c>
      <c r="G74" s="51" t="n">
        <v>5</v>
      </c>
      <c r="H74" s="21" t="n">
        <v>5</v>
      </c>
    </row>
    <row r="75" ht="20" customHeight="1">
      <c r="A75" s="52" t="inlineStr">
        <is>
          <t>6.  Dirigi bem a Comissão da Igreja</t>
        </is>
      </c>
      <c r="B75" s="68" t="n"/>
      <c r="C75" s="53" t="n">
        <v>1</v>
      </c>
      <c r="D75" s="53" t="n">
        <v>2</v>
      </c>
      <c r="E75" s="53" t="n">
        <v>3</v>
      </c>
      <c r="F75" s="53" t="n">
        <v>4</v>
      </c>
      <c r="G75" s="53" t="n">
        <v>5</v>
      </c>
      <c r="H75" s="27" t="n">
        <v>5</v>
      </c>
    </row>
    <row r="76" ht="20" customHeight="1">
      <c r="A76" s="50" t="inlineStr">
        <is>
          <t>7.  Atualizado com as finanças da igreja</t>
        </is>
      </c>
      <c r="B76" s="68" t="n"/>
      <c r="C76" s="51" t="n">
        <v>1</v>
      </c>
      <c r="D76" s="51" t="n">
        <v>2</v>
      </c>
      <c r="E76" s="51" t="n">
        <v>3</v>
      </c>
      <c r="F76" s="51" t="n">
        <v>4</v>
      </c>
      <c r="G76" s="51" t="n">
        <v>5</v>
      </c>
      <c r="H76" s="21" t="n">
        <v>5</v>
      </c>
    </row>
    <row r="77" ht="20" customHeight="1">
      <c r="A77" s="52" t="inlineStr">
        <is>
          <t>8.  Acompanhamento das atividades da igreja</t>
        </is>
      </c>
      <c r="B77" s="68" t="n"/>
      <c r="C77" s="53" t="n">
        <v>1</v>
      </c>
      <c r="D77" s="53" t="n">
        <v>2</v>
      </c>
      <c r="E77" s="53" t="n">
        <v>3</v>
      </c>
      <c r="F77" s="53" t="n">
        <v>4</v>
      </c>
      <c r="G77" s="53" t="n">
        <v>5</v>
      </c>
      <c r="H77" s="27" t="n">
        <v>5</v>
      </c>
    </row>
    <row r="78" ht="20" customHeight="1">
      <c r="A78" s="50" t="inlineStr">
        <is>
          <t>9.  Promoção das Atividades da Igreja</t>
        </is>
      </c>
      <c r="B78" s="68" t="n"/>
      <c r="C78" s="51" t="n">
        <v>1</v>
      </c>
      <c r="D78" s="51" t="n">
        <v>2</v>
      </c>
      <c r="E78" s="51" t="n">
        <v>3</v>
      </c>
      <c r="F78" s="51" t="n">
        <v>4</v>
      </c>
      <c r="G78" s="51" t="n">
        <v>5</v>
      </c>
      <c r="H78" s="21" t="n">
        <v>5</v>
      </c>
    </row>
    <row r="79" ht="20" customHeight="1">
      <c r="A79" s="52" t="inlineStr">
        <is>
          <t>10.  Comunicação com a Liderança</t>
        </is>
      </c>
      <c r="B79" s="68" t="n"/>
      <c r="C79" s="53" t="n">
        <v>1</v>
      </c>
      <c r="D79" s="53" t="n">
        <v>2</v>
      </c>
      <c r="E79" s="53" t="n">
        <v>3</v>
      </c>
      <c r="F79" s="53" t="n">
        <v>4</v>
      </c>
      <c r="G79" s="53" t="n">
        <v>5</v>
      </c>
      <c r="H79" s="27" t="n">
        <v>5</v>
      </c>
    </row>
    <row r="80" ht="20" customHeight="1">
      <c r="A80" s="50" t="inlineStr">
        <is>
          <t>11.  Liderança e motivação do grupo</t>
        </is>
      </c>
      <c r="B80" s="68" t="n"/>
      <c r="C80" s="51" t="n">
        <v>1</v>
      </c>
      <c r="D80" s="51" t="n">
        <v>2</v>
      </c>
      <c r="E80" s="51" t="n">
        <v>3</v>
      </c>
      <c r="F80" s="51" t="n">
        <v>4</v>
      </c>
      <c r="G80" s="51" t="n">
        <v>5</v>
      </c>
      <c r="H80" s="21" t="n">
        <v>5</v>
      </c>
    </row>
    <row r="81" ht="20" customHeight="1">
      <c r="A81" s="52" t="inlineStr">
        <is>
          <t>12.  Treinamento e orientação</t>
        </is>
      </c>
      <c r="B81" s="68" t="n"/>
      <c r="C81" s="53" t="n">
        <v>1</v>
      </c>
      <c r="D81" s="53" t="n">
        <v>2</v>
      </c>
      <c r="E81" s="53" t="n">
        <v>3</v>
      </c>
      <c r="F81" s="53" t="n">
        <v>4</v>
      </c>
      <c r="G81" s="53" t="n">
        <v>5</v>
      </c>
      <c r="H81" s="27" t="n">
        <v>5</v>
      </c>
    </row>
    <row r="82" ht="20" customHeight="1">
      <c r="A82" s="50" t="inlineStr">
        <is>
          <t>13.  Fidelidade aos regulamentos da Igreja</t>
        </is>
      </c>
      <c r="B82" s="68" t="n"/>
      <c r="C82" s="51" t="n">
        <v>1</v>
      </c>
      <c r="D82" s="51" t="n">
        <v>2</v>
      </c>
      <c r="E82" s="51" t="n">
        <v>3</v>
      </c>
      <c r="F82" s="51" t="n">
        <v>4</v>
      </c>
      <c r="G82" s="51" t="n">
        <v>5</v>
      </c>
      <c r="H82" s="21" t="n">
        <v>5</v>
      </c>
    </row>
    <row r="83" ht="20" customHeight="1">
      <c r="A83" s="52" t="inlineStr">
        <is>
          <t>14.  Planejamento Anual para o distrito</t>
        </is>
      </c>
      <c r="B83" s="68" t="n"/>
      <c r="C83" s="53" t="n">
        <v>1</v>
      </c>
      <c r="D83" s="53" t="n">
        <v>2</v>
      </c>
      <c r="E83" s="53" t="n">
        <v>3</v>
      </c>
      <c r="F83" s="53" t="n">
        <v>4</v>
      </c>
      <c r="G83" s="53" t="n">
        <v>5</v>
      </c>
      <c r="H83" s="27" t="n">
        <v>5</v>
      </c>
    </row>
    <row r="84" ht="20" customHeight="1">
      <c r="A84" s="50" t="inlineStr">
        <is>
          <t>15.  Planejamento das atividades evangelísticas</t>
        </is>
      </c>
      <c r="B84" s="68" t="n"/>
      <c r="C84" s="51" t="n">
        <v>1</v>
      </c>
      <c r="D84" s="51" t="n">
        <v>2</v>
      </c>
      <c r="E84" s="51" t="n">
        <v>3</v>
      </c>
      <c r="F84" s="51" t="n">
        <v>4</v>
      </c>
      <c r="G84" s="51" t="n">
        <v>5</v>
      </c>
      <c r="H84" s="21" t="n">
        <v>5</v>
      </c>
    </row>
    <row r="85" ht="20" customHeight="1">
      <c r="A85" s="52" t="inlineStr">
        <is>
          <t>16.  Trabalho junto com a liderança</t>
        </is>
      </c>
      <c r="B85" s="68" t="n"/>
      <c r="C85" s="53" t="n">
        <v>1</v>
      </c>
      <c r="D85" s="53" t="n">
        <v>2</v>
      </c>
      <c r="E85" s="53" t="n">
        <v>3</v>
      </c>
      <c r="F85" s="53" t="n">
        <v>4</v>
      </c>
      <c r="G85" s="53" t="n">
        <v>5</v>
      </c>
      <c r="H85" s="27" t="n">
        <v>5</v>
      </c>
    </row>
    <row r="86" ht="22" customHeight="1">
      <c r="A86" s="41" t="inlineStr">
        <is>
          <t>MÉDIA DA ÁREA (5. Administração):</t>
        </is>
      </c>
      <c r="B86" s="69" t="n"/>
      <c r="C86" s="69" t="n"/>
      <c r="D86" s="69" t="n"/>
      <c r="E86" s="69" t="n"/>
      <c r="F86" s="69" t="n"/>
      <c r="G86" s="68" t="n"/>
      <c r="H86" s="34">
        <f>ROUND(AVERAGE(H70:H85), 2)</f>
        <v/>
      </c>
    </row>
    <row r="88" ht="26" customHeight="1">
      <c r="A88" s="56" t="inlineStr">
        <is>
          <t>Data da Avaliação: ____ / ____ / 2026</t>
        </is>
      </c>
      <c r="E88" s="57" t="inlineStr">
        <is>
          <t>Sistema Concebido por: Valentino Canguele</t>
        </is>
      </c>
    </row>
  </sheetData>
  <mergeCells count="90">
    <mergeCell ref="A15:B15"/>
    <mergeCell ref="A64:B64"/>
    <mergeCell ref="A73:B73"/>
    <mergeCell ref="A70:B70"/>
    <mergeCell ref="A7:B7"/>
    <mergeCell ref="A74:B74"/>
    <mergeCell ref="C7:E7"/>
    <mergeCell ref="A76:B76"/>
    <mergeCell ref="A33:B33"/>
    <mergeCell ref="E88:H88"/>
    <mergeCell ref="A85:B85"/>
    <mergeCell ref="A17:B17"/>
    <mergeCell ref="A22:B22"/>
    <mergeCell ref="A35:B35"/>
    <mergeCell ref="A62:B62"/>
    <mergeCell ref="A19:B19"/>
    <mergeCell ref="A28:B28"/>
    <mergeCell ref="A39:B39"/>
    <mergeCell ref="A48:B48"/>
    <mergeCell ref="A30:B30"/>
    <mergeCell ref="A59:B59"/>
    <mergeCell ref="A51:H51"/>
    <mergeCell ref="A45:B45"/>
    <mergeCell ref="A79:B79"/>
    <mergeCell ref="A61:B61"/>
    <mergeCell ref="G7:H7"/>
    <mergeCell ref="A37:B37"/>
    <mergeCell ref="A46:B46"/>
    <mergeCell ref="A27:H27"/>
    <mergeCell ref="A49:G49"/>
    <mergeCell ref="A88:D88"/>
    <mergeCell ref="A71:B71"/>
    <mergeCell ref="A42:H42"/>
    <mergeCell ref="A63:B63"/>
    <mergeCell ref="F3:H3"/>
    <mergeCell ref="A77:B77"/>
    <mergeCell ref="A34:B34"/>
    <mergeCell ref="A83:B83"/>
    <mergeCell ref="A36:B36"/>
    <mergeCell ref="A69:B69"/>
    <mergeCell ref="A78:B78"/>
    <mergeCell ref="A40:G40"/>
    <mergeCell ref="A65:B65"/>
    <mergeCell ref="A54:H54"/>
    <mergeCell ref="A75:B75"/>
    <mergeCell ref="A80:B80"/>
    <mergeCell ref="A3:B3"/>
    <mergeCell ref="A56:H56"/>
    <mergeCell ref="A21:B21"/>
    <mergeCell ref="A57:B57"/>
    <mergeCell ref="A5:B5"/>
    <mergeCell ref="A32:B32"/>
    <mergeCell ref="A14:B14"/>
    <mergeCell ref="A23:B23"/>
    <mergeCell ref="A25:G25"/>
    <mergeCell ref="C6:E6"/>
    <mergeCell ref="A4:B4"/>
    <mergeCell ref="A66:G66"/>
    <mergeCell ref="A38:B38"/>
    <mergeCell ref="A53:H53"/>
    <mergeCell ref="A43:B43"/>
    <mergeCell ref="A10:H10"/>
    <mergeCell ref="C4:E4"/>
    <mergeCell ref="A68:H68"/>
    <mergeCell ref="A86:G86"/>
    <mergeCell ref="A9:H9"/>
    <mergeCell ref="A24:B24"/>
    <mergeCell ref="A82:B82"/>
    <mergeCell ref="A60:B60"/>
    <mergeCell ref="A1:H1"/>
    <mergeCell ref="A6:B6"/>
    <mergeCell ref="A16:B16"/>
    <mergeCell ref="A84:B84"/>
    <mergeCell ref="G6:H6"/>
    <mergeCell ref="A18:B18"/>
    <mergeCell ref="A12:H12"/>
    <mergeCell ref="A47:B47"/>
    <mergeCell ref="G5:H5"/>
    <mergeCell ref="C3:E3"/>
    <mergeCell ref="G4:H4"/>
    <mergeCell ref="A20:B20"/>
    <mergeCell ref="A72:B72"/>
    <mergeCell ref="A29:B29"/>
    <mergeCell ref="C5:E5"/>
    <mergeCell ref="A81:B81"/>
    <mergeCell ref="A52:H52"/>
    <mergeCell ref="A13:B13"/>
    <mergeCell ref="A44:B44"/>
    <mergeCell ref="A31:B31"/>
    <mergeCell ref="A58:B58"/>
  </mergeCells>
  <dataValidations count="2">
    <dataValidation sqref="C3" showDropDown="0" showInputMessage="0" showErrorMessage="0" allowBlank="0" type="list">
      <formula1>='📋 Avaliação Pastoral (Geral)'!$B$6:$B$105</formula1>
    </dataValidation>
    <dataValidation sqref="H14 H15 H16 H17 H18 H19 H20 H21 H22 H23 H24 H29 H30 H31 H32 H33 H34 H35 H36 H37 H38 H39 H44 H45 H46 H47 H48 H58 H59 H60 H61 H62 H63 H64 H65 H70 H71 H72 H73 H74 H75 H76 H77 H78 H79 H80 H81 H82 H83 H84 H85" showDropDown="0" showInputMessage="0" showErrorMessage="0" allowBlank="0" type="whole" operator="between">
      <formula1>1</formula1>
      <formula2>5</formula2>
    </dataValidation>
  </dataValidations>
  <pageMargins left="0.75" right="0.75" top="1" bottom="1"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D43"/>
  <sheetViews>
    <sheetView showGridLines="1" workbookViewId="0">
      <selection activeCell="A1" sqref="A1"/>
    </sheetView>
  </sheetViews>
  <sheetFormatPr baseColWidth="8" defaultRowHeight="15"/>
  <cols>
    <col width="8" customWidth="1" min="1" max="1"/>
    <col width="48" customWidth="1" min="2" max="2"/>
    <col width="20" customWidth="1" min="3" max="3"/>
    <col width="22" customWidth="1" min="4" max="4"/>
  </cols>
  <sheetData>
    <row r="1" ht="25" customHeight="1">
      <c r="A1" s="56" t="inlineStr">
        <is>
          <t>IGREJA ADVENTISTA DO 7º DIA</t>
        </is>
      </c>
    </row>
    <row r="2" ht="20" customHeight="1">
      <c r="A2" s="56" t="inlineStr">
        <is>
          <t>UNIÃO SUDOESTE DE ANGOLA</t>
        </is>
      </c>
    </row>
    <row r="3" ht="20" customHeight="1">
      <c r="A3" s="56" t="inlineStr">
        <is>
          <t>MISSÃO CENTRO</t>
        </is>
      </c>
    </row>
    <row r="4" ht="30" customHeight="1">
      <c r="A4" s="58" t="inlineStr">
        <is>
          <t>RELATÓRIO TRIMESTRAL DA ASSOCIAÇÃO PASTORAL</t>
        </is>
      </c>
    </row>
    <row r="6" ht="24" customHeight="1">
      <c r="A6" s="59" t="inlineStr">
        <is>
          <t>PASTOR DO DISTRITO:</t>
        </is>
      </c>
      <c r="B6" s="60" t="inlineStr">
        <is>
          <t>Pr. Enoque Paulino</t>
        </is>
      </c>
      <c r="C6" s="70" t="n"/>
      <c r="D6" s="71" t="n"/>
    </row>
    <row r="8" ht="24" customHeight="1">
      <c r="A8" s="15" t="inlineStr">
        <is>
          <t>Nº</t>
        </is>
      </c>
      <c r="B8" s="49" t="inlineStr">
        <is>
          <t>I . Obreiros</t>
        </is>
      </c>
      <c r="C8" s="68" t="n"/>
      <c r="D8" s="15" t="inlineStr">
        <is>
          <t>QUANTIDADE / RESPOSTA</t>
        </is>
      </c>
    </row>
    <row r="9" ht="20" customHeight="1">
      <c r="A9" s="61" t="n">
        <v>1</v>
      </c>
      <c r="B9" s="52" t="inlineStr">
        <is>
          <t>Número de Ministros Ordenados</t>
        </is>
      </c>
      <c r="C9" s="68" t="n"/>
      <c r="D9" s="24" t="n">
        <v>2</v>
      </c>
    </row>
    <row r="10" ht="20" customHeight="1">
      <c r="A10" s="62" t="n">
        <v>2</v>
      </c>
      <c r="B10" s="50" t="inlineStr">
        <is>
          <t>Número de Ministros Licenciados</t>
        </is>
      </c>
      <c r="C10" s="68" t="n"/>
      <c r="D10" s="18" t="n">
        <v>3</v>
      </c>
    </row>
    <row r="11" ht="20" customHeight="1">
      <c r="A11" s="61" t="n">
        <v>3</v>
      </c>
      <c r="B11" s="52" t="inlineStr">
        <is>
          <t>Número de Ministros Estagiários</t>
        </is>
      </c>
      <c r="C11" s="68" t="n"/>
      <c r="D11" s="24" t="n">
        <v>1</v>
      </c>
    </row>
    <row r="12" ht="20" customHeight="1">
      <c r="A12" s="62" t="n">
        <v>4</v>
      </c>
      <c r="B12" s="50" t="inlineStr">
        <is>
          <t>Número de Ministros Pioneiros</t>
        </is>
      </c>
      <c r="C12" s="68" t="n"/>
      <c r="D12" s="18" t="n">
        <v>0</v>
      </c>
    </row>
    <row r="13" ht="20" customHeight="1">
      <c r="A13" s="32" t="inlineStr">
        <is>
          <t>TOTAL</t>
        </is>
      </c>
      <c r="B13" s="63" t="inlineStr">
        <is>
          <t>TOTAL DE OBREIROS CREDENCIADOS</t>
        </is>
      </c>
      <c r="C13" s="68" t="n"/>
      <c r="D13" s="32">
        <f>SUM(D9:D12)</f>
        <v/>
      </c>
    </row>
    <row r="14" ht="20" customHeight="1">
      <c r="A14" s="62" t="n">
        <v>5</v>
      </c>
      <c r="B14" s="50" t="inlineStr">
        <is>
          <t>Nº de Instrutores Bíblicos</t>
        </is>
      </c>
      <c r="C14" s="68" t="n"/>
      <c r="D14" s="18" t="n">
        <v>15</v>
      </c>
    </row>
    <row r="15" ht="24" customHeight="1">
      <c r="A15" s="64" t="inlineStr">
        <is>
          <t>II.  MISSÃO GLOBAL EVANGELISTA</t>
        </is>
      </c>
      <c r="B15" s="69" t="n"/>
      <c r="C15" s="69" t="n"/>
      <c r="D15" s="68" t="n"/>
    </row>
    <row r="16" ht="20" customHeight="1">
      <c r="A16" s="62" t="n">
        <v>6</v>
      </c>
      <c r="B16" s="50" t="inlineStr">
        <is>
          <t>Quantos baptismos propõem atingir neste quinquénio?</t>
        </is>
      </c>
      <c r="C16" s="68" t="n"/>
      <c r="D16" s="21" t="n">
        <v>500</v>
      </c>
    </row>
    <row r="17" ht="20" customHeight="1">
      <c r="A17" s="61" t="n">
        <v>7</v>
      </c>
      <c r="B17" s="52" t="inlineStr">
        <is>
          <t>Quantos membros foram baptizados este trimestre?</t>
        </is>
      </c>
      <c r="C17" s="68" t="n"/>
      <c r="D17" s="27" t="n">
        <v>45</v>
      </c>
    </row>
    <row r="18" ht="20" customHeight="1">
      <c r="A18" s="62" t="n">
        <v>8</v>
      </c>
      <c r="B18" s="50" t="inlineStr">
        <is>
          <t>Total de membros baptizados</t>
        </is>
      </c>
      <c r="C18" s="68" t="n"/>
      <c r="D18" s="21" t="n">
        <v>1250</v>
      </c>
    </row>
    <row r="19" ht="20" customHeight="1">
      <c r="A19" s="61" t="n">
        <v>9</v>
      </c>
      <c r="B19" s="52" t="inlineStr">
        <is>
          <t>Número de Distritos?</t>
        </is>
      </c>
      <c r="C19" s="68" t="n"/>
      <c r="D19" s="27" t="n">
        <v>1</v>
      </c>
    </row>
    <row r="20" ht="20" customHeight="1">
      <c r="A20" s="62" t="n">
        <v>10</v>
      </c>
      <c r="B20" s="50" t="inlineStr">
        <is>
          <t>Número de Igrejas Organizadas</t>
        </is>
      </c>
      <c r="C20" s="68" t="n"/>
      <c r="D20" s="21" t="n">
        <v>6</v>
      </c>
    </row>
    <row r="21" ht="20" customHeight="1">
      <c r="A21" s="61" t="n">
        <v>11</v>
      </c>
      <c r="B21" s="52" t="inlineStr">
        <is>
          <t>Número de Igrejas não Organizadas (Filiais)</t>
        </is>
      </c>
      <c r="C21" s="68" t="n"/>
      <c r="D21" s="27" t="n">
        <v>4</v>
      </c>
    </row>
    <row r="22" ht="20" customHeight="1">
      <c r="A22" s="62" t="n">
        <v>12</v>
      </c>
      <c r="B22" s="50" t="inlineStr">
        <is>
          <t>Quantos Pastores reformados controlas no seu Distrito?</t>
        </is>
      </c>
      <c r="C22" s="68" t="n"/>
      <c r="D22" s="21" t="n">
        <v>2</v>
      </c>
    </row>
    <row r="23" ht="20" customHeight="1">
      <c r="A23" s="61" t="n">
        <v>13</v>
      </c>
      <c r="B23" s="52" t="inlineStr">
        <is>
          <t>Quantas Viúvas de Pastores controlas no seu Distrito?</t>
        </is>
      </c>
      <c r="C23" s="68" t="n"/>
      <c r="D23" s="27" t="n">
        <v>1</v>
      </c>
    </row>
    <row r="24" ht="20" customHeight="1">
      <c r="A24" s="62" t="n">
        <v>14</v>
      </c>
      <c r="B24" s="50" t="inlineStr">
        <is>
          <t>Quantas Conferências foram realizadas neste Trimestre?</t>
        </is>
      </c>
      <c r="C24" s="68" t="n"/>
      <c r="D24" s="21" t="n">
        <v>3</v>
      </c>
    </row>
    <row r="25" ht="20" customHeight="1">
      <c r="A25" s="61" t="n">
        <v>15</v>
      </c>
      <c r="B25" s="52" t="inlineStr">
        <is>
          <t>Que plano têm para reter e melhorar a vida espiritual dos membros</t>
        </is>
      </c>
      <c r="C25" s="68" t="n"/>
      <c r="D25" s="52" t="inlineStr">
        <is>
          <t>Escola Sabatina Ativa &amp; Reuniões de Pequenos Grupos</t>
        </is>
      </c>
    </row>
    <row r="26" ht="20" customHeight="1">
      <c r="A26" s="62" t="n">
        <v>16</v>
      </c>
      <c r="B26" s="50" t="inlineStr">
        <is>
          <t>Quantos Congressos Realizou neste Trimestre?</t>
        </is>
      </c>
      <c r="C26" s="68" t="n"/>
      <c r="D26" s="21" t="n">
        <v>1</v>
      </c>
    </row>
    <row r="27" ht="20" customHeight="1">
      <c r="A27" s="61" t="n">
        <v>17</v>
      </c>
      <c r="B27" s="52" t="inlineStr">
        <is>
          <t>Quantas Campanhas realizou neste Trimestre?</t>
        </is>
      </c>
      <c r="C27" s="68" t="n"/>
      <c r="D27" s="27" t="n">
        <v>2</v>
      </c>
    </row>
    <row r="28" ht="20" customHeight="1">
      <c r="A28" s="62" t="n">
        <v>18</v>
      </c>
      <c r="B28" s="50" t="inlineStr">
        <is>
          <t>Quantos Seminários de Treinos de Anciãos e Obreiros realizou?</t>
        </is>
      </c>
      <c r="C28" s="68" t="n"/>
      <c r="D28" s="21" t="n">
        <v>4</v>
      </c>
    </row>
    <row r="29" ht="20" customHeight="1">
      <c r="A29" s="61" t="n">
        <v>19</v>
      </c>
      <c r="B29" s="52" t="inlineStr">
        <is>
          <t>Nº de Anciãos Treinados?</t>
        </is>
      </c>
      <c r="C29" s="68" t="n"/>
      <c r="D29" s="27" t="n">
        <v>24</v>
      </c>
    </row>
    <row r="30" ht="20" customHeight="1">
      <c r="A30" s="62" t="n">
        <v>20</v>
      </c>
      <c r="B30" s="50" t="inlineStr">
        <is>
          <t>Nº de Anciãos do Seu Distrito</t>
        </is>
      </c>
      <c r="C30" s="68" t="n"/>
      <c r="D30" s="21" t="n">
        <v>28</v>
      </c>
    </row>
    <row r="31" ht="20" customHeight="1">
      <c r="A31" s="61" t="n">
        <v>21</v>
      </c>
      <c r="B31" s="52" t="inlineStr">
        <is>
          <t>Nº de Diáconos no seu Distrito</t>
        </is>
      </c>
      <c r="C31" s="68" t="n"/>
      <c r="D31" s="27" t="n">
        <v>60</v>
      </c>
    </row>
    <row r="32" ht="20" customHeight="1">
      <c r="A32" s="62" t="n">
        <v>22</v>
      </c>
      <c r="B32" s="50" t="inlineStr">
        <is>
          <t>Nº de Diaconisas no seu Distrito</t>
        </is>
      </c>
      <c r="C32" s="68" t="n"/>
      <c r="D32" s="21" t="n">
        <v>55</v>
      </c>
    </row>
    <row r="33" ht="20" customHeight="1">
      <c r="A33" s="61" t="n">
        <v>23</v>
      </c>
      <c r="B33" s="52" t="inlineStr">
        <is>
          <t>Dos Congressos realizados quantos assistentes tiveram?</t>
        </is>
      </c>
      <c r="C33" s="68" t="n"/>
      <c r="D33" s="27" t="n">
        <v>1800</v>
      </c>
    </row>
    <row r="34" ht="20" customHeight="1">
      <c r="A34" s="62" t="n">
        <v>24</v>
      </c>
      <c r="B34" s="50" t="inlineStr">
        <is>
          <t>Dedicados:</t>
        </is>
      </c>
      <c r="C34" s="68" t="n"/>
      <c r="D34" s="21" t="n">
        <v>12</v>
      </c>
    </row>
    <row r="35" ht="20" customHeight="1">
      <c r="A35" s="61" t="n">
        <v>25</v>
      </c>
      <c r="B35" s="52" t="inlineStr">
        <is>
          <t>Baptizados:</t>
        </is>
      </c>
      <c r="C35" s="68" t="n"/>
      <c r="D35" s="27" t="n">
        <v>45</v>
      </c>
    </row>
    <row r="36" ht="20" customHeight="1">
      <c r="A36" s="62" t="n">
        <v>26</v>
      </c>
      <c r="B36" s="50" t="inlineStr">
        <is>
          <t>Número de Santa ceias realizadas durante o trimestre?</t>
        </is>
      </c>
      <c r="C36" s="68" t="n"/>
      <c r="D36" s="21" t="n">
        <v>4</v>
      </c>
    </row>
    <row r="37" ht="20" customHeight="1">
      <c r="A37" s="61" t="n">
        <v>27</v>
      </c>
      <c r="B37" s="52" t="inlineStr">
        <is>
          <t>Número de Casamentos realizados</t>
        </is>
      </c>
      <c r="C37" s="68" t="n"/>
      <c r="D37" s="27" t="n">
        <v>8</v>
      </c>
    </row>
    <row r="38" ht="20" customHeight="1">
      <c r="A38" s="62" t="n">
        <v>28</v>
      </c>
      <c r="B38" s="50" t="inlineStr">
        <is>
          <t>Número de Crianças dedicadas</t>
        </is>
      </c>
      <c r="C38" s="68" t="n"/>
      <c r="D38" s="21" t="n">
        <v>32</v>
      </c>
    </row>
    <row r="40" ht="25" customHeight="1">
      <c r="A40" s="56" t="inlineStr">
        <is>
          <t>_______________________, _______, __________________________, 2026</t>
        </is>
      </c>
    </row>
    <row r="41" ht="22" customHeight="1">
      <c r="A41" s="56" t="inlineStr">
        <is>
          <t>Assinatura do Pastor</t>
        </is>
      </c>
    </row>
    <row r="42" ht="20" customHeight="1">
      <c r="A42" s="65" t="inlineStr">
        <is>
          <t>_______________________________________</t>
        </is>
      </c>
    </row>
    <row r="43" ht="20" customHeight="1">
      <c r="A43" s="57" t="inlineStr">
        <is>
          <t>Ficha de Relatório Impresso | Sistematizado por Valentino Canguele</t>
        </is>
      </c>
    </row>
  </sheetData>
  <mergeCells count="40">
    <mergeCell ref="B16:C16"/>
    <mergeCell ref="B25:C25"/>
    <mergeCell ref="A4:D4"/>
    <mergeCell ref="B22:C22"/>
    <mergeCell ref="A43:D43"/>
    <mergeCell ref="B31:C31"/>
    <mergeCell ref="B27:C27"/>
    <mergeCell ref="B18:C18"/>
    <mergeCell ref="B12:C12"/>
    <mergeCell ref="A40:D40"/>
    <mergeCell ref="B21:C21"/>
    <mergeCell ref="B11:C11"/>
    <mergeCell ref="B23:C23"/>
    <mergeCell ref="A15:D15"/>
    <mergeCell ref="B14:C14"/>
    <mergeCell ref="B17:C17"/>
    <mergeCell ref="B8:C8"/>
    <mergeCell ref="B6:D6"/>
    <mergeCell ref="B13:C13"/>
    <mergeCell ref="A1:D1"/>
    <mergeCell ref="B38:C38"/>
    <mergeCell ref="B29:C29"/>
    <mergeCell ref="B19:C19"/>
    <mergeCell ref="B34:C34"/>
    <mergeCell ref="B37:C37"/>
    <mergeCell ref="B10:C10"/>
    <mergeCell ref="B28:C28"/>
    <mergeCell ref="A41:D41"/>
    <mergeCell ref="B9:C9"/>
    <mergeCell ref="B24:C24"/>
    <mergeCell ref="B30:C30"/>
    <mergeCell ref="B33:C33"/>
    <mergeCell ref="B20:C20"/>
    <mergeCell ref="A3:D3"/>
    <mergeCell ref="B36:C36"/>
    <mergeCell ref="B32:C32"/>
    <mergeCell ref="A2:D2"/>
    <mergeCell ref="B26:C26"/>
    <mergeCell ref="A42:D42"/>
    <mergeCell ref="B35:C35"/>
  </mergeCells>
  <dataValidations count="1">
    <dataValidation sqref="B6" showDropDown="0" showInputMessage="0" showErrorMessage="0" allowBlank="0" type="list">
      <formula1>='📋 Avaliação Pastoral (Geral)'!$B$6:$B$105</formula1>
    </dataValidation>
  </dataValidations>
  <pageMargins left="0.75" right="0.75" top="1" bottom="1" header="0.5" footer="0.5"/>
  <pageSetup orientation="portrait" paperSize="9" fitToHeight="0" fitToWidth="1"/>
</worksheet>
</file>

<file path=xl/worksheets/sheet5.xml><?xml version="1.0" encoding="utf-8"?>
<worksheet xmlns="http://schemas.openxmlformats.org/spreadsheetml/2006/main">
  <sheetPr>
    <outlinePr summaryBelow="1" summaryRight="1"/>
    <pageSetUpPr/>
  </sheetPr>
  <dimension ref="A1:F103"/>
  <sheetViews>
    <sheetView showGridLines="1" workbookViewId="0">
      <pane ySplit="3" topLeftCell="A4" activePane="bottomLeft" state="frozen"/>
      <selection pane="bottomLeft" activeCell="A1" sqref="A1"/>
    </sheetView>
  </sheetViews>
  <sheetFormatPr baseColWidth="8" defaultRowHeight="15"/>
  <cols>
    <col width="8" customWidth="1" min="1" max="1"/>
    <col width="28" customWidth="1" min="2" max="2"/>
    <col width="24" customWidth="1" min="3" max="3"/>
    <col width="16" customWidth="1" min="4" max="4"/>
    <col width="24" customWidth="1" min="5" max="5"/>
    <col width="18" customWidth="1" min="6" max="6"/>
  </cols>
  <sheetData>
    <row r="1" ht="36" customHeight="1">
      <c r="A1" s="1" t="inlineStr">
        <is>
          <t>LISTA TELEFÓNICA E CADASTRO DOS PASTORES DA MCASD - 2026</t>
        </is>
      </c>
    </row>
    <row r="2" ht="20" customHeight="1">
      <c r="A2" s="2" t="inlineStr">
        <is>
          <t>Desenvolvido por Valentino Canguele - Missão das Igrejas Adventistas do Sétimo Dia</t>
        </is>
      </c>
    </row>
    <row r="3" ht="26" customHeight="1">
      <c r="A3" s="36" t="inlineStr">
        <is>
          <t>Nº</t>
        </is>
      </c>
      <c r="B3" s="36" t="inlineStr">
        <is>
          <t>Nome do Pastor</t>
        </is>
      </c>
      <c r="C3" s="36" t="inlineStr">
        <is>
          <t>Distrito / Função</t>
        </is>
      </c>
      <c r="D3" s="36" t="inlineStr">
        <is>
          <t>Província</t>
        </is>
      </c>
      <c r="E3" s="36" t="inlineStr">
        <is>
          <t>Licença / Cargo</t>
        </is>
      </c>
      <c r="F3" s="36" t="inlineStr">
        <is>
          <t>Contacto Telefónico</t>
        </is>
      </c>
    </row>
    <row r="4" ht="20" customHeight="1">
      <c r="A4" s="18" t="n">
        <v>1</v>
      </c>
      <c r="B4" s="37" t="inlineStr">
        <is>
          <t>Pr. Enoque Paulino</t>
        </is>
      </c>
      <c r="C4" s="37" t="inlineStr">
        <is>
          <t>Presidente - Missão</t>
        </is>
      </c>
      <c r="D4" s="18" t="inlineStr">
        <is>
          <t>Huambo</t>
        </is>
      </c>
      <c r="E4" s="37" t="inlineStr">
        <is>
          <t>Presidente</t>
        </is>
      </c>
      <c r="F4" s="18" t="inlineStr">
        <is>
          <t>924242887</t>
        </is>
      </c>
    </row>
    <row r="5" ht="20" customHeight="1">
      <c r="A5" s="24" t="n">
        <v>2</v>
      </c>
      <c r="B5" s="39" t="inlineStr">
        <is>
          <t>Pr. Florindo Chiconjo</t>
        </is>
      </c>
      <c r="C5" s="39" t="inlineStr">
        <is>
          <t>Secretário</t>
        </is>
      </c>
      <c r="D5" s="24" t="inlineStr">
        <is>
          <t>Huambo</t>
        </is>
      </c>
      <c r="E5" s="39" t="inlineStr">
        <is>
          <t>Secretário Executivo</t>
        </is>
      </c>
      <c r="F5" s="24" t="inlineStr">
        <is>
          <t>924074666</t>
        </is>
      </c>
    </row>
    <row r="6" ht="20" customHeight="1">
      <c r="A6" s="18" t="n">
        <v>3</v>
      </c>
      <c r="B6" s="37" t="inlineStr">
        <is>
          <t>Anc Simão Avelino</t>
        </is>
      </c>
      <c r="C6" s="37" t="inlineStr">
        <is>
          <t>Tesoureiro</t>
        </is>
      </c>
      <c r="D6" s="18" t="inlineStr">
        <is>
          <t>Huambo</t>
        </is>
      </c>
      <c r="E6" s="37" t="inlineStr">
        <is>
          <t>Tesoureiro</t>
        </is>
      </c>
      <c r="F6" s="18" t="inlineStr">
        <is>
          <t>929744811</t>
        </is>
      </c>
    </row>
    <row r="7" ht="20" customHeight="1">
      <c r="A7" s="24" t="n">
        <v>4</v>
      </c>
      <c r="B7" s="39" t="inlineStr">
        <is>
          <t>Pr. Lauriano Salote</t>
        </is>
      </c>
      <c r="C7" s="39" t="inlineStr">
        <is>
          <t>Andulo</t>
        </is>
      </c>
      <c r="D7" s="24" t="inlineStr">
        <is>
          <t>Bié</t>
        </is>
      </c>
      <c r="E7" s="39" t="inlineStr">
        <is>
          <t>Pastor Distrital</t>
        </is>
      </c>
      <c r="F7" s="24" t="inlineStr">
        <is>
          <t>923380953</t>
        </is>
      </c>
    </row>
    <row r="8" ht="20" customHeight="1">
      <c r="A8" s="18" t="n">
        <v>5</v>
      </c>
      <c r="B8" s="37" t="inlineStr">
        <is>
          <t>Pr. Craveiro Idalino</t>
        </is>
      </c>
      <c r="C8" s="37" t="inlineStr">
        <is>
          <t>Alto Hama</t>
        </is>
      </c>
      <c r="D8" s="18" t="inlineStr">
        <is>
          <t>Huambo</t>
        </is>
      </c>
      <c r="E8" s="37" t="inlineStr">
        <is>
          <t>Pastor Distrital</t>
        </is>
      </c>
      <c r="F8" s="18" t="inlineStr">
        <is>
          <t>925694840</t>
        </is>
      </c>
    </row>
    <row r="9" ht="20" customHeight="1">
      <c r="A9" s="24" t="n">
        <v>6</v>
      </c>
      <c r="B9" s="39" t="inlineStr">
        <is>
          <t>Pr. Aurélio de Jesus Jamba</t>
        </is>
      </c>
      <c r="C9" s="39" t="inlineStr">
        <is>
          <t>Auditoria MCA</t>
        </is>
      </c>
      <c r="D9" s="24" t="inlineStr">
        <is>
          <t>Huambo</t>
        </is>
      </c>
      <c r="E9" s="39" t="inlineStr">
        <is>
          <t>Auditor / Pastor</t>
        </is>
      </c>
      <c r="F9" s="24" t="inlineStr">
        <is>
          <t>928146289</t>
        </is>
      </c>
    </row>
    <row r="10" ht="20" customHeight="1">
      <c r="A10" s="18" t="n">
        <v>7</v>
      </c>
      <c r="B10" s="37" t="inlineStr">
        <is>
          <t>Pr. Emilio Cupua</t>
        </is>
      </c>
      <c r="C10" s="37" t="inlineStr">
        <is>
          <t>Bailundo-Norte</t>
        </is>
      </c>
      <c r="D10" s="18" t="inlineStr">
        <is>
          <t>Huambo</t>
        </is>
      </c>
      <c r="E10" s="37" t="inlineStr">
        <is>
          <t>Pastor Distrital</t>
        </is>
      </c>
      <c r="F10" s="18" t="inlineStr">
        <is>
          <t>933226066</t>
        </is>
      </c>
    </row>
    <row r="11" ht="20" customHeight="1">
      <c r="A11" s="24" t="n">
        <v>8</v>
      </c>
      <c r="B11" s="39" t="inlineStr">
        <is>
          <t>Pr. Vasco Aurélio Munga</t>
        </is>
      </c>
      <c r="C11" s="39" t="inlineStr">
        <is>
          <t>Boa Nova</t>
        </is>
      </c>
      <c r="D11" s="24" t="inlineStr">
        <is>
          <t>Huambo</t>
        </is>
      </c>
      <c r="E11" s="39" t="inlineStr">
        <is>
          <t>Pastor Distrital</t>
        </is>
      </c>
      <c r="F11" s="24" t="inlineStr">
        <is>
          <t>923737175</t>
        </is>
      </c>
    </row>
    <row r="12" ht="20" customHeight="1">
      <c r="A12" s="18" t="n">
        <v>9</v>
      </c>
      <c r="B12" s="37" t="inlineStr">
        <is>
          <t>Pr. João Sangundu</t>
        </is>
      </c>
      <c r="C12" s="37" t="inlineStr">
        <is>
          <t>Bongo</t>
        </is>
      </c>
      <c r="D12" s="18" t="inlineStr">
        <is>
          <t>Huambo</t>
        </is>
      </c>
      <c r="E12" s="37" t="inlineStr">
        <is>
          <t>Pastor Distrital</t>
        </is>
      </c>
      <c r="F12" s="18" t="inlineStr">
        <is>
          <t>945463839</t>
        </is>
      </c>
    </row>
    <row r="13" ht="20" customHeight="1">
      <c r="A13" s="24" t="n">
        <v>10</v>
      </c>
      <c r="B13" s="39" t="inlineStr">
        <is>
          <t>Pr. Evaristo P. Mendes</t>
        </is>
      </c>
      <c r="C13" s="39" t="inlineStr">
        <is>
          <t>Cacilhas / Calomanda</t>
        </is>
      </c>
      <c r="D13" s="24" t="inlineStr">
        <is>
          <t>Huambo</t>
        </is>
      </c>
      <c r="E13" s="39" t="inlineStr">
        <is>
          <t>Pastor Distrital</t>
        </is>
      </c>
      <c r="F13" s="24" t="inlineStr">
        <is>
          <t>923101252</t>
        </is>
      </c>
    </row>
    <row r="14" ht="20" customHeight="1">
      <c r="A14" s="18" t="n">
        <v>11</v>
      </c>
      <c r="B14" s="37" t="inlineStr">
        <is>
          <t>Pr. José Silva Eurico</t>
        </is>
      </c>
      <c r="C14" s="37" t="inlineStr">
        <is>
          <t>Calai</t>
        </is>
      </c>
      <c r="D14" s="18" t="inlineStr">
        <is>
          <t>Cubango</t>
        </is>
      </c>
      <c r="E14" s="37" t="inlineStr">
        <is>
          <t>Pastor Distrital</t>
        </is>
      </c>
      <c r="F14" s="18" t="inlineStr">
        <is>
          <t>923720195</t>
        </is>
      </c>
    </row>
    <row r="15" ht="20" customHeight="1">
      <c r="A15" s="24" t="n">
        <v>12</v>
      </c>
      <c r="B15" s="39" t="inlineStr">
        <is>
          <t>Pr. Teles Justino de Oliveira</t>
        </is>
      </c>
      <c r="C15" s="39" t="inlineStr">
        <is>
          <t>Calenga</t>
        </is>
      </c>
      <c r="D15" s="24" t="inlineStr">
        <is>
          <t>Huambo</t>
        </is>
      </c>
      <c r="E15" s="39" t="inlineStr">
        <is>
          <t>Pastor Distrital</t>
        </is>
      </c>
      <c r="F15" s="24" t="inlineStr">
        <is>
          <t>924712599</t>
        </is>
      </c>
    </row>
    <row r="16" ht="20" customHeight="1">
      <c r="A16" s="18" t="n">
        <v>13</v>
      </c>
      <c r="B16" s="37" t="inlineStr">
        <is>
          <t>Pr. Alfredo Casselo</t>
        </is>
      </c>
      <c r="C16" s="37" t="inlineStr">
        <is>
          <t>Calenga e Lepi</t>
        </is>
      </c>
      <c r="D16" s="18" t="inlineStr">
        <is>
          <t>Huambo</t>
        </is>
      </c>
      <c r="E16" s="37" t="inlineStr">
        <is>
          <t>Pastor Distrital</t>
        </is>
      </c>
      <c r="F16" s="18" t="inlineStr">
        <is>
          <t>934151263</t>
        </is>
      </c>
    </row>
    <row r="17" ht="20" customHeight="1">
      <c r="A17" s="24" t="n">
        <v>14</v>
      </c>
      <c r="B17" s="39" t="inlineStr">
        <is>
          <t>Pr. Tomás Tunguta</t>
        </is>
      </c>
      <c r="C17" s="39" t="inlineStr">
        <is>
          <t>Calussinga</t>
        </is>
      </c>
      <c r="D17" s="24" t="inlineStr">
        <is>
          <t>Bié</t>
        </is>
      </c>
      <c r="E17" s="39" t="inlineStr">
        <is>
          <t>Pastor Distrital</t>
        </is>
      </c>
      <c r="F17" s="24" t="inlineStr">
        <is>
          <t>946099735</t>
        </is>
      </c>
    </row>
    <row r="18" ht="20" customHeight="1">
      <c r="A18" s="18" t="n">
        <v>15</v>
      </c>
      <c r="B18" s="37" t="inlineStr">
        <is>
          <t>Pr. Agostinho Chalale</t>
        </is>
      </c>
      <c r="C18" s="37" t="inlineStr">
        <is>
          <t>Cambiote</t>
        </is>
      </c>
      <c r="D18" s="18" t="inlineStr">
        <is>
          <t>Huambo</t>
        </is>
      </c>
      <c r="E18" s="37" t="inlineStr">
        <is>
          <t>Pastor Distrital</t>
        </is>
      </c>
      <c r="F18" s="18" t="inlineStr">
        <is>
          <t>927047570</t>
        </is>
      </c>
    </row>
    <row r="19" ht="20" customHeight="1">
      <c r="A19" s="24" t="n">
        <v>16</v>
      </c>
      <c r="B19" s="39" t="inlineStr">
        <is>
          <t>Pr. Fernando de Castro</t>
        </is>
      </c>
      <c r="C19" s="39" t="inlineStr">
        <is>
          <t>Casseque</t>
        </is>
      </c>
      <c r="D19" s="24" t="inlineStr">
        <is>
          <t>Huambo</t>
        </is>
      </c>
      <c r="E19" s="39" t="inlineStr">
        <is>
          <t>Pastor Distrital</t>
        </is>
      </c>
      <c r="F19" s="24" t="inlineStr">
        <is>
          <t>923919378</t>
        </is>
      </c>
    </row>
    <row r="20" ht="20" customHeight="1">
      <c r="A20" s="18" t="n">
        <v>17</v>
      </c>
      <c r="B20" s="37" t="inlineStr">
        <is>
          <t>Pr. Fernando Natal Pelé</t>
        </is>
      </c>
      <c r="C20" s="37" t="inlineStr">
        <is>
          <t>Catabola</t>
        </is>
      </c>
      <c r="D20" s="18" t="inlineStr">
        <is>
          <t>Bié</t>
        </is>
      </c>
      <c r="E20" s="37" t="inlineStr">
        <is>
          <t>Pastor Distrital</t>
        </is>
      </c>
      <c r="F20" s="18" t="inlineStr">
        <is>
          <t>931054719</t>
        </is>
      </c>
    </row>
    <row r="21" ht="20" customHeight="1">
      <c r="A21" s="24" t="n">
        <v>18</v>
      </c>
      <c r="B21" s="39" t="inlineStr">
        <is>
          <t>Pr. Miguel Evaldine Praia</t>
        </is>
      </c>
      <c r="C21" s="39" t="inlineStr">
        <is>
          <t>Central-Bailundo</t>
        </is>
      </c>
      <c r="D21" s="24" t="inlineStr">
        <is>
          <t>Huambo</t>
        </is>
      </c>
      <c r="E21" s="39" t="inlineStr">
        <is>
          <t>Pastor Distrital</t>
        </is>
      </c>
      <c r="F21" s="24" t="inlineStr">
        <is>
          <t>923243564</t>
        </is>
      </c>
    </row>
    <row r="22" ht="20" customHeight="1">
      <c r="A22" s="18" t="n">
        <v>19</v>
      </c>
      <c r="B22" s="37" t="inlineStr">
        <is>
          <t>Pr. Emílio Ernesto</t>
        </is>
      </c>
      <c r="C22" s="37" t="inlineStr">
        <is>
          <t>Catata</t>
        </is>
      </c>
      <c r="D22" s="18" t="inlineStr">
        <is>
          <t>Huambo</t>
        </is>
      </c>
      <c r="E22" s="37" t="inlineStr">
        <is>
          <t>Pastor Distrital</t>
        </is>
      </c>
      <c r="F22" s="18" t="inlineStr">
        <is>
          <t>941732183</t>
        </is>
      </c>
    </row>
    <row r="23" ht="20" customHeight="1">
      <c r="A23" s="24" t="n">
        <v>20</v>
      </c>
      <c r="B23" s="39" t="inlineStr">
        <is>
          <t>Pr. Nelson M. Avelino</t>
        </is>
      </c>
      <c r="C23" s="39" t="inlineStr">
        <is>
          <t>Central-Caála</t>
        </is>
      </c>
      <c r="D23" s="24" t="inlineStr">
        <is>
          <t>Huambo</t>
        </is>
      </c>
      <c r="E23" s="39" t="inlineStr">
        <is>
          <t>Pastor Distrital</t>
        </is>
      </c>
      <c r="F23" s="24" t="inlineStr">
        <is>
          <t>929252438</t>
        </is>
      </c>
    </row>
    <row r="24" ht="20" customHeight="1">
      <c r="A24" s="18" t="n">
        <v>21</v>
      </c>
      <c r="B24" s="37" t="inlineStr">
        <is>
          <t>Pr. Gomes João</t>
        </is>
      </c>
      <c r="C24" s="37" t="inlineStr">
        <is>
          <t>Central Huambo</t>
        </is>
      </c>
      <c r="D24" s="18" t="inlineStr">
        <is>
          <t>Huambo</t>
        </is>
      </c>
      <c r="E24" s="37" t="inlineStr">
        <is>
          <t>Pastor Distrital</t>
        </is>
      </c>
      <c r="F24" s="18" t="inlineStr">
        <is>
          <t>928284295</t>
        </is>
      </c>
    </row>
    <row r="25" ht="20" customHeight="1">
      <c r="A25" s="24" t="n">
        <v>22</v>
      </c>
      <c r="B25" s="39" t="inlineStr">
        <is>
          <t>Pr. Joaquim Chaves Cabral</t>
        </is>
      </c>
      <c r="C25" s="39" t="inlineStr">
        <is>
          <t>Central-CD / Chipipa</t>
        </is>
      </c>
      <c r="D25" s="24" t="inlineStr">
        <is>
          <t>Huambo</t>
        </is>
      </c>
      <c r="E25" s="39" t="inlineStr">
        <is>
          <t>Pastor Distrital</t>
        </is>
      </c>
      <c r="F25" s="24" t="inlineStr">
        <is>
          <t>925151375</t>
        </is>
      </c>
    </row>
    <row r="26" ht="20" customHeight="1">
      <c r="A26" s="18" t="n">
        <v>23</v>
      </c>
      <c r="B26" s="37" t="inlineStr">
        <is>
          <t>Pr. Alberto C. Laurindo</t>
        </is>
      </c>
      <c r="C26" s="37" t="inlineStr">
        <is>
          <t>Centro Kuito</t>
        </is>
      </c>
      <c r="D26" s="18" t="inlineStr">
        <is>
          <t>Bié</t>
        </is>
      </c>
      <c r="E26" s="37" t="inlineStr">
        <is>
          <t>Pastor Distrital</t>
        </is>
      </c>
      <c r="F26" s="18" t="inlineStr">
        <is>
          <t>925398527</t>
        </is>
      </c>
    </row>
    <row r="27" ht="20" customHeight="1">
      <c r="A27" s="24" t="n">
        <v>24</v>
      </c>
      <c r="B27" s="39" t="inlineStr">
        <is>
          <t>Pr. Barnabé Daniel Fino</t>
        </is>
      </c>
      <c r="C27" s="39" t="inlineStr">
        <is>
          <t>Chicala Cholohanga</t>
        </is>
      </c>
      <c r="D27" s="24" t="inlineStr">
        <is>
          <t>Huambo</t>
        </is>
      </c>
      <c r="E27" s="39" t="inlineStr">
        <is>
          <t>Pastor Distrital</t>
        </is>
      </c>
      <c r="F27" s="24" t="inlineStr">
        <is>
          <t>923388570</t>
        </is>
      </c>
    </row>
    <row r="28" ht="20" customHeight="1">
      <c r="A28" s="18" t="n">
        <v>25</v>
      </c>
      <c r="B28" s="37" t="inlineStr">
        <is>
          <t>Pr. Adriano Delfim Feca</t>
        </is>
      </c>
      <c r="C28" s="37" t="inlineStr">
        <is>
          <t>Chicala Tcholoanga</t>
        </is>
      </c>
      <c r="D28" s="18" t="inlineStr">
        <is>
          <t>Huambo</t>
        </is>
      </c>
      <c r="E28" s="37" t="inlineStr">
        <is>
          <t>Pastor Distrital</t>
        </is>
      </c>
      <c r="F28" s="18" t="inlineStr">
        <is>
          <t>929336906</t>
        </is>
      </c>
    </row>
    <row r="29" ht="20" customHeight="1">
      <c r="A29" s="24" t="n">
        <v>26</v>
      </c>
      <c r="B29" s="39" t="inlineStr">
        <is>
          <t>Pr. Azevedo Manuel</t>
        </is>
      </c>
      <c r="C29" s="39" t="inlineStr">
        <is>
          <t>Chinguar</t>
        </is>
      </c>
      <c r="D29" s="24" t="inlineStr">
        <is>
          <t>Bié</t>
        </is>
      </c>
      <c r="E29" s="39" t="inlineStr">
        <is>
          <t>Pastor Distrital</t>
        </is>
      </c>
      <c r="F29" s="24" t="inlineStr">
        <is>
          <t>938832087</t>
        </is>
      </c>
    </row>
    <row r="30" ht="20" customHeight="1">
      <c r="A30" s="18" t="n">
        <v>27</v>
      </c>
      <c r="B30" s="37" t="inlineStr">
        <is>
          <t>Pr. Frederico Valente</t>
        </is>
      </c>
      <c r="C30" s="37" t="inlineStr">
        <is>
          <t>Chinjenje</t>
        </is>
      </c>
      <c r="D30" s="18" t="inlineStr">
        <is>
          <t>Huambo</t>
        </is>
      </c>
      <c r="E30" s="37" t="inlineStr">
        <is>
          <t>Pastor Distrital</t>
        </is>
      </c>
      <c r="F30" s="18" t="inlineStr">
        <is>
          <t>938832087</t>
        </is>
      </c>
    </row>
    <row r="31" ht="20" customHeight="1">
      <c r="A31" s="24" t="n">
        <v>28</v>
      </c>
      <c r="B31" s="39" t="inlineStr">
        <is>
          <t>Pr. Henriques Mariano</t>
        </is>
      </c>
      <c r="C31" s="39" t="inlineStr">
        <is>
          <t>CRC – Caála</t>
        </is>
      </c>
      <c r="D31" s="24" t="inlineStr">
        <is>
          <t>Huambo</t>
        </is>
      </c>
      <c r="E31" s="39" t="inlineStr">
        <is>
          <t>Pastor Distrital</t>
        </is>
      </c>
      <c r="F31" s="24" t="inlineStr">
        <is>
          <t>922002569</t>
        </is>
      </c>
    </row>
    <row r="32" ht="20" customHeight="1">
      <c r="A32" s="18" t="n">
        <v>29</v>
      </c>
      <c r="B32" s="37" t="inlineStr">
        <is>
          <t>Pr. Distino Dinis Mulonde</t>
        </is>
      </c>
      <c r="C32" s="37" t="inlineStr">
        <is>
          <t>Cristo Vencedor</t>
        </is>
      </c>
      <c r="D32" s="18" t="inlineStr">
        <is>
          <t>Huambo</t>
        </is>
      </c>
      <c r="E32" s="37" t="inlineStr">
        <is>
          <t>Pastor Distrital</t>
        </is>
      </c>
      <c r="F32" s="18" t="inlineStr">
        <is>
          <t>933632295</t>
        </is>
      </c>
    </row>
    <row r="33" ht="20" customHeight="1">
      <c r="A33" s="24" t="n">
        <v>30</v>
      </c>
      <c r="B33" s="39" t="inlineStr">
        <is>
          <t>Pr. Emanuel Lucamba</t>
        </is>
      </c>
      <c r="C33" s="39" t="inlineStr">
        <is>
          <t>Distrito Norte-Menongue</t>
        </is>
      </c>
      <c r="D33" s="24" t="inlineStr">
        <is>
          <t>Cubango</t>
        </is>
      </c>
      <c r="E33" s="39" t="inlineStr">
        <is>
          <t>Pastor Distrital</t>
        </is>
      </c>
      <c r="F33" s="24" t="inlineStr">
        <is>
          <t>923311835</t>
        </is>
      </c>
    </row>
    <row r="34" ht="20" customHeight="1">
      <c r="A34" s="18" t="n">
        <v>31</v>
      </c>
      <c r="B34" s="37" t="inlineStr">
        <is>
          <t>Pr. Erasmo Luvumba</t>
        </is>
      </c>
      <c r="C34" s="37" t="inlineStr">
        <is>
          <t>Esmirna</t>
        </is>
      </c>
      <c r="D34" s="18" t="inlineStr">
        <is>
          <t>Bié</t>
        </is>
      </c>
      <c r="E34" s="37" t="inlineStr">
        <is>
          <t>Pastor Distrital</t>
        </is>
      </c>
      <c r="F34" s="18" t="inlineStr">
        <is>
          <t>949682097</t>
        </is>
      </c>
    </row>
    <row r="35" ht="20" customHeight="1">
      <c r="A35" s="24" t="n">
        <v>32</v>
      </c>
      <c r="B35" s="39" t="inlineStr">
        <is>
          <t>Pr. Daniel Cameia</t>
        </is>
      </c>
      <c r="C35" s="39" t="inlineStr">
        <is>
          <t>Filadélfia</t>
        </is>
      </c>
      <c r="D35" s="24" t="inlineStr">
        <is>
          <t>Huambo</t>
        </is>
      </c>
      <c r="E35" s="39" t="inlineStr">
        <is>
          <t>Pastor Distrital</t>
        </is>
      </c>
      <c r="F35" s="24" t="inlineStr">
        <is>
          <t>923377023</t>
        </is>
      </c>
    </row>
    <row r="36" ht="20" customHeight="1">
      <c r="A36" s="18" t="n">
        <v>33</v>
      </c>
      <c r="B36" s="37" t="inlineStr">
        <is>
          <t>Pr. Martinho Sapato</t>
        </is>
      </c>
      <c r="C36" s="37" t="inlineStr">
        <is>
          <t>Huambo</t>
        </is>
      </c>
      <c r="D36" s="18" t="inlineStr">
        <is>
          <t>Huambo</t>
        </is>
      </c>
      <c r="E36" s="37" t="inlineStr">
        <is>
          <t>Pastor Distrital</t>
        </is>
      </c>
      <c r="F36" s="18" t="inlineStr">
        <is>
          <t>924869785</t>
        </is>
      </c>
    </row>
    <row r="37" ht="20" customHeight="1">
      <c r="A37" s="24" t="n">
        <v>34</v>
      </c>
      <c r="B37" s="39" t="inlineStr">
        <is>
          <t>Pr. Ernesto M. Enoque</t>
        </is>
      </c>
      <c r="C37" s="39" t="inlineStr">
        <is>
          <t>Huambo</t>
        </is>
      </c>
      <c r="D37" s="24" t="inlineStr">
        <is>
          <t>Huambo</t>
        </is>
      </c>
      <c r="E37" s="39" t="inlineStr">
        <is>
          <t>Pastor Distrital</t>
        </is>
      </c>
      <c r="F37" s="24" t="inlineStr">
        <is>
          <t>923881920</t>
        </is>
      </c>
    </row>
    <row r="38" ht="20" customHeight="1">
      <c r="A38" s="18" t="n">
        <v>35</v>
      </c>
      <c r="B38" s="37" t="inlineStr">
        <is>
          <t>Pr. Martins Menezes</t>
        </is>
      </c>
      <c r="C38" s="37" t="inlineStr">
        <is>
          <t>Cuemba</t>
        </is>
      </c>
      <c r="D38" s="18" t="inlineStr">
        <is>
          <t>Bié</t>
        </is>
      </c>
      <c r="E38" s="37" t="inlineStr">
        <is>
          <t>Pastor Distrital</t>
        </is>
      </c>
      <c r="F38" s="18" t="inlineStr">
        <is>
          <t>924685651</t>
        </is>
      </c>
    </row>
    <row r="39" ht="20" customHeight="1">
      <c r="A39" s="24" t="n">
        <v>36</v>
      </c>
      <c r="B39" s="39" t="inlineStr">
        <is>
          <t>Pr. António Sebastião</t>
        </is>
      </c>
      <c r="C39" s="39" t="inlineStr">
        <is>
          <t>Cuima</t>
        </is>
      </c>
      <c r="D39" s="24" t="inlineStr">
        <is>
          <t>Huambo</t>
        </is>
      </c>
      <c r="E39" s="39" t="inlineStr">
        <is>
          <t>Pastor Distrital</t>
        </is>
      </c>
      <c r="F39" s="24" t="inlineStr">
        <is>
          <t>924864412</t>
        </is>
      </c>
    </row>
    <row r="40" ht="20" customHeight="1">
      <c r="A40" s="18" t="n">
        <v>37</v>
      </c>
      <c r="B40" s="37" t="inlineStr">
        <is>
          <t>Pr. Roberto Cambinda</t>
        </is>
      </c>
      <c r="C40" s="37" t="inlineStr">
        <is>
          <t>Cuito Cuanavale</t>
        </is>
      </c>
      <c r="D40" s="18" t="inlineStr">
        <is>
          <t>Quando</t>
        </is>
      </c>
      <c r="E40" s="37" t="inlineStr">
        <is>
          <t>Pastor Distrital</t>
        </is>
      </c>
      <c r="F40" s="18" t="inlineStr">
        <is>
          <t>923621244</t>
        </is>
      </c>
    </row>
    <row r="41" ht="20" customHeight="1">
      <c r="A41" s="24" t="n">
        <v>38</v>
      </c>
      <c r="B41" s="39" t="inlineStr">
        <is>
          <t>Pr. Valentino Canguele</t>
        </is>
      </c>
      <c r="C41" s="39" t="inlineStr">
        <is>
          <t>Cunhinga</t>
        </is>
      </c>
      <c r="D41" s="24" t="inlineStr">
        <is>
          <t>Bié</t>
        </is>
      </c>
      <c r="E41" s="39" t="inlineStr">
        <is>
          <t>Pastor Distrital</t>
        </is>
      </c>
      <c r="F41" s="24" t="inlineStr">
        <is>
          <t>926445277</t>
        </is>
      </c>
    </row>
    <row r="42" ht="20" customHeight="1">
      <c r="A42" s="18" t="n">
        <v>39</v>
      </c>
      <c r="B42" s="37" t="inlineStr">
        <is>
          <t>Pr. Martinho Capela</t>
        </is>
      </c>
      <c r="C42" s="37" t="inlineStr">
        <is>
          <t>Damasco</t>
        </is>
      </c>
      <c r="D42" s="18" t="inlineStr">
        <is>
          <t>Huambo</t>
        </is>
      </c>
      <c r="E42" s="37" t="inlineStr">
        <is>
          <t>Pastor Distrital</t>
        </is>
      </c>
      <c r="F42" s="18" t="inlineStr">
        <is>
          <t>944275639</t>
        </is>
      </c>
    </row>
    <row r="43" ht="20" customHeight="1">
      <c r="A43" s="24" t="n">
        <v>40</v>
      </c>
      <c r="B43" s="39" t="inlineStr">
        <is>
          <t>Pr. Domingos Suquina</t>
        </is>
      </c>
      <c r="C43" s="39" t="inlineStr">
        <is>
          <t>ISPAB – Bongo</t>
        </is>
      </c>
      <c r="D43" s="24" t="inlineStr">
        <is>
          <t>Huambo</t>
        </is>
      </c>
      <c r="E43" s="39" t="inlineStr">
        <is>
          <t>Professor / Pastor</t>
        </is>
      </c>
      <c r="F43" s="24" t="inlineStr">
        <is>
          <t>923453812</t>
        </is>
      </c>
    </row>
    <row r="44" ht="20" customHeight="1">
      <c r="A44" s="18" t="n">
        <v>41</v>
      </c>
      <c r="B44" s="37" t="inlineStr">
        <is>
          <t>Pr. Francisco Lumbungululu</t>
        </is>
      </c>
      <c r="C44" s="37" t="inlineStr">
        <is>
          <t>ISPAB – Bongo</t>
        </is>
      </c>
      <c r="D44" s="18" t="inlineStr">
        <is>
          <t>Huambo</t>
        </is>
      </c>
      <c r="E44" s="37" t="inlineStr">
        <is>
          <t>Professor / Pastor</t>
        </is>
      </c>
      <c r="F44" s="18" t="inlineStr">
        <is>
          <t>924636526</t>
        </is>
      </c>
    </row>
    <row r="45" ht="20" customHeight="1">
      <c r="A45" s="24" t="n">
        <v>42</v>
      </c>
      <c r="B45" s="39" t="inlineStr">
        <is>
          <t>Pr. Manuel Filipe Pacheco</t>
        </is>
      </c>
      <c r="C45" s="39" t="inlineStr">
        <is>
          <t>ISPAB – Bongo</t>
        </is>
      </c>
      <c r="D45" s="24" t="inlineStr">
        <is>
          <t>Huambo</t>
        </is>
      </c>
      <c r="E45" s="39" t="inlineStr">
        <is>
          <t>Professor / Pastor</t>
        </is>
      </c>
      <c r="F45" s="24" t="inlineStr">
        <is>
          <t>929109679</t>
        </is>
      </c>
    </row>
    <row r="46" ht="20" customHeight="1">
      <c r="A46" s="18" t="n">
        <v>43</v>
      </c>
      <c r="B46" s="37" t="inlineStr">
        <is>
          <t>Pr. António Bambi</t>
        </is>
      </c>
      <c r="C46" s="37" t="inlineStr">
        <is>
          <t>ISPAB – Bongo</t>
        </is>
      </c>
      <c r="D46" s="18" t="inlineStr">
        <is>
          <t>Huambo</t>
        </is>
      </c>
      <c r="E46" s="37" t="inlineStr">
        <is>
          <t>Professor / Pastor</t>
        </is>
      </c>
      <c r="F46" s="18" t="inlineStr">
        <is>
          <t>940323264</t>
        </is>
      </c>
    </row>
    <row r="47" ht="20" customHeight="1">
      <c r="A47" s="24" t="n">
        <v>44</v>
      </c>
      <c r="B47" s="39" t="inlineStr">
        <is>
          <t>Pr. Colino Celino</t>
        </is>
      </c>
      <c r="C47" s="39" t="inlineStr">
        <is>
          <t>Jubilado</t>
        </is>
      </c>
      <c r="D47" s="24" t="inlineStr">
        <is>
          <t>Huambo</t>
        </is>
      </c>
      <c r="E47" s="39" t="inlineStr">
        <is>
          <t>Pastor Jubilado</t>
        </is>
      </c>
      <c r="F47" s="24" t="inlineStr">
        <is>
          <t>924750154</t>
        </is>
      </c>
    </row>
    <row r="48" ht="20" customHeight="1">
      <c r="A48" s="18" t="n">
        <v>45</v>
      </c>
      <c r="B48" s="37" t="inlineStr">
        <is>
          <t>Pr. Samuel Catimba</t>
        </is>
      </c>
      <c r="C48" s="37" t="inlineStr">
        <is>
          <t>Galanga</t>
        </is>
      </c>
      <c r="D48" s="18" t="inlineStr">
        <is>
          <t>Huambo</t>
        </is>
      </c>
      <c r="E48" s="37" t="inlineStr">
        <is>
          <t>Pastor Distrital</t>
        </is>
      </c>
      <c r="F48" s="18" t="inlineStr">
        <is>
          <t>924429282</t>
        </is>
      </c>
    </row>
    <row r="49" ht="20" customHeight="1">
      <c r="A49" s="24" t="n">
        <v>46</v>
      </c>
      <c r="B49" s="39" t="inlineStr">
        <is>
          <t>Pr. João Dinis José</t>
        </is>
      </c>
      <c r="C49" s="39" t="inlineStr">
        <is>
          <t>Kakelewa</t>
        </is>
      </c>
      <c r="D49" s="24" t="inlineStr">
        <is>
          <t>Huambo</t>
        </is>
      </c>
      <c r="E49" s="39" t="inlineStr">
        <is>
          <t>Pastor Distrital</t>
        </is>
      </c>
      <c r="F49" s="24" t="inlineStr">
        <is>
          <t>923697772</t>
        </is>
      </c>
    </row>
    <row r="50" ht="20" customHeight="1">
      <c r="A50" s="18" t="n">
        <v>47</v>
      </c>
      <c r="B50" s="37" t="inlineStr">
        <is>
          <t>Pr. Nelito Manuel Jaime</t>
        </is>
      </c>
      <c r="C50" s="37" t="inlineStr">
        <is>
          <t>Jubilado</t>
        </is>
      </c>
      <c r="D50" s="18" t="inlineStr">
        <is>
          <t>Huambo</t>
        </is>
      </c>
      <c r="E50" s="37" t="inlineStr">
        <is>
          <t>Pastor Jubilado</t>
        </is>
      </c>
      <c r="F50" s="18" t="inlineStr">
        <is>
          <t>926744469</t>
        </is>
      </c>
    </row>
    <row r="51" ht="20" customHeight="1">
      <c r="A51" s="24" t="n">
        <v>48</v>
      </c>
      <c r="B51" s="39" t="inlineStr">
        <is>
          <t>Pr. Justino Paulo</t>
        </is>
      </c>
      <c r="C51" s="39" t="inlineStr">
        <is>
          <t>Jubilado</t>
        </is>
      </c>
      <c r="D51" s="24" t="inlineStr">
        <is>
          <t>Huambo</t>
        </is>
      </c>
      <c r="E51" s="39" t="inlineStr">
        <is>
          <t>Pastor Jubilado</t>
        </is>
      </c>
      <c r="F51" s="24" t="inlineStr">
        <is>
          <t>923255252</t>
        </is>
      </c>
    </row>
    <row r="52" ht="20" customHeight="1">
      <c r="A52" s="18" t="n">
        <v>49</v>
      </c>
      <c r="B52" s="37" t="inlineStr">
        <is>
          <t>Pr. José Pereira Lemos</t>
        </is>
      </c>
      <c r="C52" s="37" t="inlineStr">
        <is>
          <t>Jubilado</t>
        </is>
      </c>
      <c r="D52" s="18" t="inlineStr">
        <is>
          <t>Huambo</t>
        </is>
      </c>
      <c r="E52" s="37" t="inlineStr">
        <is>
          <t>Pastor Jubilado</t>
        </is>
      </c>
      <c r="F52" s="18" t="inlineStr">
        <is>
          <t>922159498</t>
        </is>
      </c>
    </row>
    <row r="53" ht="20" customHeight="1">
      <c r="A53" s="24" t="n">
        <v>50</v>
      </c>
      <c r="B53" s="39" t="inlineStr">
        <is>
          <t>Pr. Amadeu Cassoma</t>
        </is>
      </c>
      <c r="C53" s="39" t="inlineStr">
        <is>
          <t>Jubilado</t>
        </is>
      </c>
      <c r="D53" s="24" t="inlineStr">
        <is>
          <t>Huambo</t>
        </is>
      </c>
      <c r="E53" s="39" t="inlineStr">
        <is>
          <t>Pastor Jubilado</t>
        </is>
      </c>
      <c r="F53" s="24" t="inlineStr">
        <is>
          <t>928594271</t>
        </is>
      </c>
    </row>
    <row r="54" ht="20" customHeight="1">
      <c r="A54" s="18" t="n">
        <v>51</v>
      </c>
      <c r="B54" s="37" t="inlineStr">
        <is>
          <t>Pr. Ambrósio Cangongo</t>
        </is>
      </c>
      <c r="C54" s="37" t="inlineStr">
        <is>
          <t>Jubilado</t>
        </is>
      </c>
      <c r="D54" s="18" t="inlineStr">
        <is>
          <t>Huambo</t>
        </is>
      </c>
      <c r="E54" s="37" t="inlineStr">
        <is>
          <t>Pastor Jubilado</t>
        </is>
      </c>
      <c r="F54" s="18" t="inlineStr">
        <is>
          <t>927005586</t>
        </is>
      </c>
    </row>
    <row r="55" ht="20" customHeight="1">
      <c r="A55" s="24" t="n">
        <v>52</v>
      </c>
      <c r="B55" s="39" t="inlineStr">
        <is>
          <t>Pr. António Mário</t>
        </is>
      </c>
      <c r="C55" s="39" t="inlineStr">
        <is>
          <t>Jubilado</t>
        </is>
      </c>
      <c r="D55" s="24" t="inlineStr">
        <is>
          <t>Huambo</t>
        </is>
      </c>
      <c r="E55" s="39" t="inlineStr">
        <is>
          <t>Pastor Jubilado</t>
        </is>
      </c>
      <c r="F55" s="24" t="inlineStr">
        <is>
          <t>929269515</t>
        </is>
      </c>
    </row>
    <row r="56" ht="20" customHeight="1">
      <c r="A56" s="18" t="n">
        <v>53</v>
      </c>
      <c r="B56" s="37" t="inlineStr">
        <is>
          <t>Pr. Baptista Mateus</t>
        </is>
      </c>
      <c r="C56" s="37" t="inlineStr">
        <is>
          <t>Jubilado</t>
        </is>
      </c>
      <c r="D56" s="18" t="inlineStr">
        <is>
          <t>Huambo</t>
        </is>
      </c>
      <c r="E56" s="37" t="inlineStr">
        <is>
          <t>Pastor Jubilado</t>
        </is>
      </c>
      <c r="F56" s="18" t="inlineStr">
        <is>
          <t>931250756</t>
        </is>
      </c>
    </row>
    <row r="57" ht="20" customHeight="1">
      <c r="A57" s="24" t="n">
        <v>54</v>
      </c>
      <c r="B57" s="39" t="inlineStr">
        <is>
          <t>Pr. Gregório Henriques</t>
        </is>
      </c>
      <c r="C57" s="39" t="inlineStr">
        <is>
          <t>Kamacupa</t>
        </is>
      </c>
      <c r="D57" s="24" t="inlineStr">
        <is>
          <t>Bié</t>
        </is>
      </c>
      <c r="E57" s="39" t="inlineStr">
        <is>
          <t>Pastor Distrital</t>
        </is>
      </c>
      <c r="F57" s="24" t="inlineStr">
        <is>
          <t>927467684</t>
        </is>
      </c>
    </row>
    <row r="58" ht="20" customHeight="1">
      <c r="A58" s="18" t="n">
        <v>55</v>
      </c>
      <c r="B58" s="37" t="inlineStr">
        <is>
          <t>Pr. Madureira Chiwissi</t>
        </is>
      </c>
      <c r="C58" s="37" t="inlineStr">
        <is>
          <t>Kamunda</t>
        </is>
      </c>
      <c r="D58" s="18" t="inlineStr">
        <is>
          <t>Huambo</t>
        </is>
      </c>
      <c r="E58" s="37" t="inlineStr">
        <is>
          <t>Pastor Distrital</t>
        </is>
      </c>
      <c r="F58" s="18" t="inlineStr">
        <is>
          <t>931870202</t>
        </is>
      </c>
    </row>
    <row r="59" ht="20" customHeight="1">
      <c r="A59" s="24" t="n">
        <v>56</v>
      </c>
      <c r="B59" s="39" t="inlineStr">
        <is>
          <t>Pr. Pedro César</t>
        </is>
      </c>
      <c r="C59" s="39" t="inlineStr">
        <is>
          <t>Kapa</t>
        </is>
      </c>
      <c r="D59" s="24" t="inlineStr">
        <is>
          <t>Huambo</t>
        </is>
      </c>
      <c r="E59" s="39" t="inlineStr">
        <is>
          <t>Pastor Distrital</t>
        </is>
      </c>
      <c r="F59" s="24" t="inlineStr">
        <is>
          <t>926103500</t>
        </is>
      </c>
    </row>
    <row r="60" ht="20" customHeight="1">
      <c r="A60" s="18" t="n">
        <v>57</v>
      </c>
      <c r="B60" s="37" t="inlineStr">
        <is>
          <t>Pr. Praia Ernesto</t>
        </is>
      </c>
      <c r="C60" s="37" t="inlineStr">
        <is>
          <t>Kapango</t>
        </is>
      </c>
      <c r="D60" s="18" t="inlineStr">
        <is>
          <t>Huambo</t>
        </is>
      </c>
      <c r="E60" s="37" t="inlineStr">
        <is>
          <t>Pastor Distrital</t>
        </is>
      </c>
      <c r="F60" s="18" t="inlineStr">
        <is>
          <t>927073687</t>
        </is>
      </c>
    </row>
    <row r="61" ht="20" customHeight="1">
      <c r="A61" s="24" t="n">
        <v>58</v>
      </c>
      <c r="B61" s="39" t="inlineStr">
        <is>
          <t>Pr. Roberto Belarmino</t>
        </is>
      </c>
      <c r="C61" s="39" t="inlineStr">
        <is>
          <t>Kassupi - Caála</t>
        </is>
      </c>
      <c r="D61" s="24" t="inlineStr">
        <is>
          <t>Huambo</t>
        </is>
      </c>
      <c r="E61" s="39" t="inlineStr">
        <is>
          <t>Pastor Distrital</t>
        </is>
      </c>
      <c r="F61" s="24" t="inlineStr">
        <is>
          <t>925472022</t>
        </is>
      </c>
    </row>
    <row r="62" ht="20" customHeight="1">
      <c r="A62" s="18" t="n">
        <v>59</v>
      </c>
      <c r="B62" s="37" t="inlineStr">
        <is>
          <t>Pr. Sebastião João</t>
        </is>
      </c>
      <c r="C62" s="37" t="inlineStr">
        <is>
          <t>Kavongue</t>
        </is>
      </c>
      <c r="D62" s="18" t="inlineStr">
        <is>
          <t>Huambo</t>
        </is>
      </c>
      <c r="E62" s="37" t="inlineStr">
        <is>
          <t>Pastor Distrital</t>
        </is>
      </c>
      <c r="F62" s="18" t="inlineStr">
        <is>
          <t>941517273</t>
        </is>
      </c>
    </row>
    <row r="63" ht="20" customHeight="1">
      <c r="A63" s="24" t="n">
        <v>60</v>
      </c>
      <c r="B63" s="39" t="inlineStr">
        <is>
          <t>Pr. Tomás Morais Américo</t>
        </is>
      </c>
      <c r="C63" s="39" t="inlineStr">
        <is>
          <t>Km25- Caála</t>
        </is>
      </c>
      <c r="D63" s="24" t="inlineStr">
        <is>
          <t>Huambo</t>
        </is>
      </c>
      <c r="E63" s="39" t="inlineStr">
        <is>
          <t>Pastor Distrital</t>
        </is>
      </c>
      <c r="F63" s="24" t="inlineStr">
        <is>
          <t>923758172</t>
        </is>
      </c>
    </row>
    <row r="64" ht="20" customHeight="1">
      <c r="A64" s="18" t="n">
        <v>61</v>
      </c>
      <c r="B64" s="37" t="inlineStr">
        <is>
          <t>Pr. Francisco Fela</t>
        </is>
      </c>
      <c r="C64" s="37" t="inlineStr">
        <is>
          <t>Kunje</t>
        </is>
      </c>
      <c r="D64" s="18" t="inlineStr">
        <is>
          <t>Bié</t>
        </is>
      </c>
      <c r="E64" s="37" t="inlineStr">
        <is>
          <t>Pastor Distrital</t>
        </is>
      </c>
      <c r="F64" s="18" t="inlineStr">
        <is>
          <t>927198219</t>
        </is>
      </c>
    </row>
    <row r="65" ht="20" customHeight="1">
      <c r="A65" s="24" t="n">
        <v>62</v>
      </c>
      <c r="B65" s="39" t="inlineStr">
        <is>
          <t>Pr. Orlando Canema</t>
        </is>
      </c>
      <c r="C65" s="39" t="inlineStr">
        <is>
          <t>Livraria</t>
        </is>
      </c>
      <c r="D65" s="24" t="inlineStr">
        <is>
          <t>Huambo</t>
        </is>
      </c>
      <c r="E65" s="39" t="inlineStr">
        <is>
          <t>Diretor de Livraria</t>
        </is>
      </c>
      <c r="F65" s="24" t="inlineStr">
        <is>
          <t>924252136</t>
        </is>
      </c>
    </row>
    <row r="66" ht="20" customHeight="1">
      <c r="A66" s="18" t="n">
        <v>63</v>
      </c>
      <c r="B66" s="37" t="inlineStr">
        <is>
          <t>Pr. Vasco Arlindo Catengue</t>
        </is>
      </c>
      <c r="C66" s="37" t="inlineStr">
        <is>
          <t>Londuibali</t>
        </is>
      </c>
      <c r="D66" s="18" t="inlineStr">
        <is>
          <t>Huambo</t>
        </is>
      </c>
      <c r="E66" s="37" t="inlineStr">
        <is>
          <t>Pastor Distrital</t>
        </is>
      </c>
      <c r="F66" s="18" t="inlineStr">
        <is>
          <t>924409385</t>
        </is>
      </c>
    </row>
    <row r="67" ht="20" customHeight="1">
      <c r="A67" s="24" t="n">
        <v>64</v>
      </c>
      <c r="B67" s="39" t="inlineStr">
        <is>
          <t>Pr. Silva Moisés Joaquim</t>
        </is>
      </c>
      <c r="C67" s="39" t="inlineStr">
        <is>
          <t>Longonjo</t>
        </is>
      </c>
      <c r="D67" s="24" t="inlineStr">
        <is>
          <t>Huambo</t>
        </is>
      </c>
      <c r="E67" s="39" t="inlineStr">
        <is>
          <t>Pastor Distrital</t>
        </is>
      </c>
      <c r="F67" s="24" t="inlineStr">
        <is>
          <t>928603176</t>
        </is>
      </c>
    </row>
    <row r="68" ht="20" customHeight="1">
      <c r="A68" s="18" t="n">
        <v>65</v>
      </c>
      <c r="B68" s="37" t="inlineStr">
        <is>
          <t>Pr. Tiago de Jesus Faria</t>
        </is>
      </c>
      <c r="C68" s="37" t="inlineStr">
        <is>
          <t>Lufefena</t>
        </is>
      </c>
      <c r="D68" s="18" t="inlineStr">
        <is>
          <t>Huambo</t>
        </is>
      </c>
      <c r="E68" s="37" t="inlineStr">
        <is>
          <t>Pastor Distrital</t>
        </is>
      </c>
      <c r="F68" s="18" t="inlineStr">
        <is>
          <t>940323275</t>
        </is>
      </c>
    </row>
    <row r="69" ht="20" customHeight="1">
      <c r="A69" s="24" t="n">
        <v>66</v>
      </c>
      <c r="B69" s="39" t="inlineStr">
        <is>
          <t>Pr. Armando K. Gabriel</t>
        </is>
      </c>
      <c r="C69" s="39" t="inlineStr">
        <is>
          <t>Manancial - Caála</t>
        </is>
      </c>
      <c r="D69" s="24" t="inlineStr">
        <is>
          <t>Huambo</t>
        </is>
      </c>
      <c r="E69" s="39" t="inlineStr">
        <is>
          <t>Pastor Distrital</t>
        </is>
      </c>
      <c r="F69" s="24" t="inlineStr">
        <is>
          <t>916027071</t>
        </is>
      </c>
    </row>
    <row r="70" ht="20" customHeight="1">
      <c r="A70" s="18" t="n">
        <v>67</v>
      </c>
      <c r="B70" s="37" t="inlineStr">
        <is>
          <t>Pr. Isaías Guilherme Mário</t>
        </is>
      </c>
      <c r="C70" s="37" t="inlineStr">
        <is>
          <t>Mavinga</t>
        </is>
      </c>
      <c r="D70" s="18" t="inlineStr">
        <is>
          <t>Quando</t>
        </is>
      </c>
      <c r="E70" s="37" t="inlineStr">
        <is>
          <t>Pastor Distrital</t>
        </is>
      </c>
      <c r="F70" s="18" t="inlineStr">
        <is>
          <t>923954831</t>
        </is>
      </c>
    </row>
    <row r="71" ht="20" customHeight="1">
      <c r="A71" s="24" t="n">
        <v>68</v>
      </c>
      <c r="B71" s="39" t="inlineStr">
        <is>
          <t>Pr. Adelino Josué Celino</t>
        </is>
      </c>
      <c r="C71" s="39" t="inlineStr">
        <is>
          <t>Missão Centro</t>
        </is>
      </c>
      <c r="D71" s="24" t="inlineStr">
        <is>
          <t>Huambo</t>
        </is>
      </c>
      <c r="E71" s="39" t="inlineStr">
        <is>
          <t>Pastor Departamental</t>
        </is>
      </c>
      <c r="F71" s="24" t="inlineStr">
        <is>
          <t>923428459</t>
        </is>
      </c>
    </row>
    <row r="72" ht="20" customHeight="1">
      <c r="A72" s="18" t="n">
        <v>69</v>
      </c>
      <c r="B72" s="37" t="inlineStr">
        <is>
          <t>Pr. Salomão Yondjunju</t>
        </is>
      </c>
      <c r="C72" s="37" t="inlineStr">
        <is>
          <t>Missão Centro</t>
        </is>
      </c>
      <c r="D72" s="18" t="inlineStr">
        <is>
          <t>Huambo</t>
        </is>
      </c>
      <c r="E72" s="37" t="inlineStr">
        <is>
          <t>Pastor Departamental</t>
        </is>
      </c>
      <c r="F72" s="18" t="inlineStr">
        <is>
          <t>947000745</t>
        </is>
      </c>
    </row>
    <row r="73" ht="20" customHeight="1">
      <c r="A73" s="24" t="n">
        <v>70</v>
      </c>
      <c r="B73" s="39" t="inlineStr">
        <is>
          <t>Pr. João Sangando</t>
        </is>
      </c>
      <c r="C73" s="39" t="inlineStr">
        <is>
          <t>Missão Centro</t>
        </is>
      </c>
      <c r="D73" s="24" t="inlineStr">
        <is>
          <t>Huambo</t>
        </is>
      </c>
      <c r="E73" s="39" t="inlineStr">
        <is>
          <t>Pastor Departamental</t>
        </is>
      </c>
      <c r="F73" s="24" t="inlineStr">
        <is>
          <t>927332598</t>
        </is>
      </c>
    </row>
    <row r="74" ht="20" customHeight="1">
      <c r="A74" s="18" t="n">
        <v>71</v>
      </c>
      <c r="B74" s="37" t="inlineStr">
        <is>
          <t>Pr. Alcides Rodrigues</t>
        </is>
      </c>
      <c r="C74" s="37" t="inlineStr">
        <is>
          <t>Missão Centro</t>
        </is>
      </c>
      <c r="D74" s="18" t="inlineStr">
        <is>
          <t>Huambo</t>
        </is>
      </c>
      <c r="E74" s="37" t="inlineStr">
        <is>
          <t>Pastor Departamental</t>
        </is>
      </c>
      <c r="F74" s="18" t="inlineStr">
        <is>
          <t>933542931</t>
        </is>
      </c>
    </row>
    <row r="75" ht="20" customHeight="1">
      <c r="A75" s="24" t="n">
        <v>72</v>
      </c>
      <c r="B75" s="39" t="inlineStr">
        <is>
          <t>Pr. Malaquias Pedro</t>
        </is>
      </c>
      <c r="C75" s="39" t="inlineStr">
        <is>
          <t>Missão Centro</t>
        </is>
      </c>
      <c r="D75" s="24" t="inlineStr">
        <is>
          <t>Huambo</t>
        </is>
      </c>
      <c r="E75" s="39" t="inlineStr">
        <is>
          <t>Pastor Departamental</t>
        </is>
      </c>
      <c r="F75" s="24" t="inlineStr">
        <is>
          <t>927800020</t>
        </is>
      </c>
    </row>
    <row r="76" ht="20" customHeight="1">
      <c r="A76" s="18" t="n">
        <v>73</v>
      </c>
      <c r="B76" s="37" t="inlineStr">
        <is>
          <t>Pr. Samuel Mahamba</t>
        </is>
      </c>
      <c r="C76" s="37" t="inlineStr">
        <is>
          <t>Missão da Chicuma</t>
        </is>
      </c>
      <c r="D76" s="18" t="inlineStr">
        <is>
          <t>Bié</t>
        </is>
      </c>
      <c r="E76" s="37" t="inlineStr">
        <is>
          <t>Pastor Distrital</t>
        </is>
      </c>
      <c r="F76" s="18" t="inlineStr">
        <is>
          <t>923095656</t>
        </is>
      </c>
    </row>
    <row r="77" ht="20" customHeight="1">
      <c r="A77" s="24" t="n">
        <v>74</v>
      </c>
      <c r="B77" s="39" t="inlineStr">
        <is>
          <t>Pr. Agostinho Santos</t>
        </is>
      </c>
      <c r="C77" s="39" t="inlineStr">
        <is>
          <t>Missão Litoral</t>
        </is>
      </c>
      <c r="D77" s="24" t="inlineStr">
        <is>
          <t>Benguela</t>
        </is>
      </c>
      <c r="E77" s="39" t="inlineStr">
        <is>
          <t>Pastor Departamental</t>
        </is>
      </c>
      <c r="F77" s="24" t="inlineStr">
        <is>
          <t>938810692</t>
        </is>
      </c>
    </row>
    <row r="78" ht="20" customHeight="1">
      <c r="A78" s="18" t="n">
        <v>75</v>
      </c>
      <c r="B78" s="37" t="inlineStr">
        <is>
          <t>Pr. Avelino Ecumbi</t>
        </is>
      </c>
      <c r="C78" s="37" t="inlineStr">
        <is>
          <t>Missão Litoral</t>
        </is>
      </c>
      <c r="D78" s="18" t="inlineStr">
        <is>
          <t>Benguela</t>
        </is>
      </c>
      <c r="E78" s="37" t="inlineStr">
        <is>
          <t>Pastor Departamental</t>
        </is>
      </c>
      <c r="F78" s="18" t="inlineStr">
        <is>
          <t>923391346</t>
        </is>
      </c>
    </row>
    <row r="79" ht="20" customHeight="1">
      <c r="A79" s="24" t="n">
        <v>76</v>
      </c>
      <c r="B79" s="39" t="inlineStr">
        <is>
          <t>Pr. Paulino Cambuco</t>
        </is>
      </c>
      <c r="C79" s="39" t="inlineStr">
        <is>
          <t>Missão Litoral</t>
        </is>
      </c>
      <c r="D79" s="24" t="inlineStr">
        <is>
          <t>Benguela</t>
        </is>
      </c>
      <c r="E79" s="39" t="inlineStr">
        <is>
          <t>Pastor Departamental</t>
        </is>
      </c>
      <c r="F79" s="24" t="inlineStr">
        <is>
          <t>945048041</t>
        </is>
      </c>
    </row>
    <row r="80" ht="20" customHeight="1">
      <c r="A80" s="18" t="n">
        <v>77</v>
      </c>
      <c r="B80" s="37" t="inlineStr">
        <is>
          <t>Pr. Amílcar F. Gonçalves</t>
        </is>
      </c>
      <c r="C80" s="37" t="inlineStr">
        <is>
          <t>Missão Sul</t>
        </is>
      </c>
      <c r="D80" s="18" t="inlineStr">
        <is>
          <t>Huíla</t>
        </is>
      </c>
      <c r="E80" s="37" t="inlineStr">
        <is>
          <t>Pastor Departamental</t>
        </is>
      </c>
      <c r="F80" s="18" t="inlineStr">
        <is>
          <t>926754163</t>
        </is>
      </c>
    </row>
    <row r="81" ht="20" customHeight="1">
      <c r="A81" s="24" t="n">
        <v>78</v>
      </c>
      <c r="B81" s="39" t="inlineStr">
        <is>
          <t>Pr. Armindo Graça Morais</t>
        </is>
      </c>
      <c r="C81" s="39" t="inlineStr">
        <is>
          <t>Missão Sul</t>
        </is>
      </c>
      <c r="D81" s="24" t="inlineStr">
        <is>
          <t>Huíla</t>
        </is>
      </c>
      <c r="E81" s="39" t="inlineStr">
        <is>
          <t>Pastor Departamental</t>
        </is>
      </c>
      <c r="F81" s="24" t="inlineStr">
        <is>
          <t>922353060</t>
        </is>
      </c>
    </row>
    <row r="82" ht="20" customHeight="1">
      <c r="A82" s="18" t="n">
        <v>79</v>
      </c>
      <c r="B82" s="37" t="inlineStr">
        <is>
          <t>Pr. Bonifácio Chombe</t>
        </is>
      </c>
      <c r="C82" s="37" t="inlineStr">
        <is>
          <t>Missão Litoral</t>
        </is>
      </c>
      <c r="D82" s="18" t="inlineStr">
        <is>
          <t>Benguela</t>
        </is>
      </c>
      <c r="E82" s="37" t="inlineStr">
        <is>
          <t>Pastor Departamental</t>
        </is>
      </c>
      <c r="F82" s="18" t="inlineStr">
        <is>
          <t>945463857</t>
        </is>
      </c>
    </row>
    <row r="83" ht="20" customHeight="1">
      <c r="A83" s="24" t="n">
        <v>80</v>
      </c>
      <c r="B83" s="39" t="inlineStr">
        <is>
          <t>Pr. Orlando Sérgio José</t>
        </is>
      </c>
      <c r="C83" s="39" t="inlineStr">
        <is>
          <t>Mungo</t>
        </is>
      </c>
      <c r="D83" s="24" t="inlineStr">
        <is>
          <t>Huambo</t>
        </is>
      </c>
      <c r="E83" s="39" t="inlineStr">
        <is>
          <t>Pastor Distrital</t>
        </is>
      </c>
      <c r="F83" s="24" t="inlineStr">
        <is>
          <t>923974759</t>
        </is>
      </c>
    </row>
    <row r="84" ht="20" customHeight="1">
      <c r="A84" s="18" t="n">
        <v>81</v>
      </c>
      <c r="B84" s="37" t="inlineStr">
        <is>
          <t>Pr. Galvão Vasco Chalale</t>
        </is>
      </c>
      <c r="C84" s="37" t="inlineStr">
        <is>
          <t>Nharea</t>
        </is>
      </c>
      <c r="D84" s="18" t="inlineStr">
        <is>
          <t>Bié</t>
        </is>
      </c>
      <c r="E84" s="37" t="inlineStr">
        <is>
          <t>Pastor Distrital</t>
        </is>
      </c>
      <c r="F84" s="18" t="inlineStr">
        <is>
          <t>925624328</t>
        </is>
      </c>
    </row>
    <row r="85" ht="20" customHeight="1">
      <c r="A85" s="24" t="n">
        <v>82</v>
      </c>
      <c r="B85" s="39" t="inlineStr">
        <is>
          <t>Anc. Feliciano Carlos</t>
        </is>
      </c>
      <c r="C85" s="39" t="inlineStr">
        <is>
          <t>Nova Centralidade</t>
        </is>
      </c>
      <c r="D85" s="24" t="inlineStr">
        <is>
          <t>Bié</t>
        </is>
      </c>
      <c r="E85" s="39" t="inlineStr">
        <is>
          <t>Líder / Pastor</t>
        </is>
      </c>
      <c r="F85" s="24" t="inlineStr">
        <is>
          <t>925362826</t>
        </is>
      </c>
    </row>
    <row r="86" ht="20" customHeight="1">
      <c r="A86" s="18" t="n">
        <v>83</v>
      </c>
      <c r="B86" s="37" t="inlineStr">
        <is>
          <t>Pr. Armando Tunguta</t>
        </is>
      </c>
      <c r="C86" s="37" t="inlineStr">
        <is>
          <t>Progressiva</t>
        </is>
      </c>
      <c r="D86" s="18" t="inlineStr">
        <is>
          <t>Huambo</t>
        </is>
      </c>
      <c r="E86" s="37" t="inlineStr">
        <is>
          <t>Pastor Distrital</t>
        </is>
      </c>
      <c r="F86" s="18" t="inlineStr">
        <is>
          <t>946285181</t>
        </is>
      </c>
    </row>
    <row r="87" ht="20" customHeight="1">
      <c r="A87" s="24" t="n">
        <v>84</v>
      </c>
      <c r="B87" s="39" t="inlineStr">
        <is>
          <t>Pr. Afonso Figura Cardoso</t>
        </is>
      </c>
      <c r="C87" s="39" t="inlineStr">
        <is>
          <t>Smirna - Kuito</t>
        </is>
      </c>
      <c r="D87" s="24" t="inlineStr">
        <is>
          <t>Bié</t>
        </is>
      </c>
      <c r="E87" s="39" t="inlineStr">
        <is>
          <t>Pastor Distrital</t>
        </is>
      </c>
      <c r="F87" s="24" t="inlineStr">
        <is>
          <t>923475604</t>
        </is>
      </c>
    </row>
    <row r="88" ht="20" customHeight="1">
      <c r="A88" s="18" t="n">
        <v>85</v>
      </c>
      <c r="B88" s="37" t="inlineStr">
        <is>
          <t>Pr. Necas dos Santos</t>
        </is>
      </c>
      <c r="C88" s="37" t="inlineStr">
        <is>
          <t>União Sudoeste</t>
        </is>
      </c>
      <c r="D88" s="18" t="inlineStr">
        <is>
          <t>Huambo</t>
        </is>
      </c>
      <c r="E88" s="37" t="inlineStr">
        <is>
          <t>Pastor Departamental</t>
        </is>
      </c>
      <c r="F88" s="18" t="inlineStr">
        <is>
          <t>929781309</t>
        </is>
      </c>
    </row>
    <row r="89" ht="20" customHeight="1">
      <c r="A89" s="24" t="n">
        <v>86</v>
      </c>
      <c r="B89" s="39" t="inlineStr">
        <is>
          <t>Anc. Sabino Leo Sankulo</t>
        </is>
      </c>
      <c r="C89" s="39" t="inlineStr">
        <is>
          <t>União Sudoeste</t>
        </is>
      </c>
      <c r="D89" s="24" t="inlineStr">
        <is>
          <t>Huambo</t>
        </is>
      </c>
      <c r="E89" s="39" t="inlineStr">
        <is>
          <t>Líder / Pastor</t>
        </is>
      </c>
      <c r="F89" s="24" t="inlineStr">
        <is>
          <t>938277977</t>
        </is>
      </c>
    </row>
    <row r="90" ht="20" customHeight="1">
      <c r="A90" s="18" t="n">
        <v>87</v>
      </c>
      <c r="B90" s="37" t="inlineStr">
        <is>
          <t>Pr. Ermenegildo Sacanjala</t>
        </is>
      </c>
      <c r="C90" s="37" t="inlineStr">
        <is>
          <t>Huambo</t>
        </is>
      </c>
      <c r="D90" s="18" t="inlineStr">
        <is>
          <t>Huambo</t>
        </is>
      </c>
      <c r="E90" s="37" t="inlineStr">
        <is>
          <t>Pastor Licenciado</t>
        </is>
      </c>
      <c r="F90" s="18" t="inlineStr">
        <is>
          <t>923250056</t>
        </is>
      </c>
    </row>
    <row r="91" ht="20" customHeight="1">
      <c r="A91" s="24" t="n">
        <v>88</v>
      </c>
      <c r="B91" s="39" t="inlineStr">
        <is>
          <t>Pr. Jones Vitorino Dala</t>
        </is>
      </c>
      <c r="C91" s="39" t="inlineStr">
        <is>
          <t>Huambo</t>
        </is>
      </c>
      <c r="D91" s="24" t="inlineStr">
        <is>
          <t>Huambo</t>
        </is>
      </c>
      <c r="E91" s="39" t="inlineStr">
        <is>
          <t>Pastor Licenciado</t>
        </is>
      </c>
      <c r="F91" s="24" t="inlineStr">
        <is>
          <t>926731423</t>
        </is>
      </c>
    </row>
    <row r="92" ht="20" customHeight="1">
      <c r="A92" s="18" t="n">
        <v>89</v>
      </c>
      <c r="B92" s="37" t="inlineStr">
        <is>
          <t>Pr. Paulino Américo</t>
        </is>
      </c>
      <c r="C92" s="37" t="inlineStr">
        <is>
          <t>Huambo</t>
        </is>
      </c>
      <c r="D92" s="18" t="inlineStr">
        <is>
          <t>Huambo</t>
        </is>
      </c>
      <c r="E92" s="37" t="inlineStr">
        <is>
          <t>Pastor Licenciado</t>
        </is>
      </c>
      <c r="F92" s="18" t="inlineStr">
        <is>
          <t>923305647</t>
        </is>
      </c>
    </row>
    <row r="93" ht="20" customHeight="1">
      <c r="A93" s="24" t="n">
        <v>90</v>
      </c>
      <c r="B93" s="39" t="inlineStr">
        <is>
          <t>Pr. Alberto Vinhanga</t>
        </is>
      </c>
      <c r="C93" s="39" t="inlineStr">
        <is>
          <t>Huambo</t>
        </is>
      </c>
      <c r="D93" s="24" t="inlineStr">
        <is>
          <t>Huambo</t>
        </is>
      </c>
      <c r="E93" s="39" t="inlineStr">
        <is>
          <t>Pastor Licenciado</t>
        </is>
      </c>
      <c r="F93" s="24" t="inlineStr">
        <is>
          <t>924420336</t>
        </is>
      </c>
    </row>
    <row r="94" ht="20" customHeight="1">
      <c r="A94" s="18" t="n">
        <v>91</v>
      </c>
      <c r="B94" s="37" t="inlineStr">
        <is>
          <t>Pr. Mariano Ricardo Tomboco</t>
        </is>
      </c>
      <c r="C94" s="37" t="inlineStr">
        <is>
          <t>Huambo</t>
        </is>
      </c>
      <c r="D94" s="18" t="inlineStr">
        <is>
          <t>Huambo</t>
        </is>
      </c>
      <c r="E94" s="37" t="inlineStr">
        <is>
          <t>Pastor Licenciado</t>
        </is>
      </c>
      <c r="F94" s="18" t="inlineStr">
        <is>
          <t>924700794</t>
        </is>
      </c>
    </row>
    <row r="95" ht="20" customHeight="1">
      <c r="A95" s="24" t="n">
        <v>92</v>
      </c>
      <c r="B95" s="39" t="inlineStr">
        <is>
          <t>Pr. Francisco Cassucussuco</t>
        </is>
      </c>
      <c r="C95" s="39" t="inlineStr">
        <is>
          <t>Huambo</t>
        </is>
      </c>
      <c r="D95" s="24" t="inlineStr">
        <is>
          <t>Huambo</t>
        </is>
      </c>
      <c r="E95" s="39" t="inlineStr">
        <is>
          <t>Pastor Licenciado</t>
        </is>
      </c>
      <c r="F95" s="24" t="inlineStr">
        <is>
          <t>924752440</t>
        </is>
      </c>
    </row>
    <row r="96" ht="20" customHeight="1">
      <c r="A96" s="18" t="n">
        <v>93</v>
      </c>
      <c r="B96" s="37" t="inlineStr">
        <is>
          <t>Pr. Severiano Chicolomhuenho</t>
        </is>
      </c>
      <c r="C96" s="37" t="inlineStr">
        <is>
          <t>Huambo</t>
        </is>
      </c>
      <c r="D96" s="18" t="inlineStr">
        <is>
          <t>Huambo</t>
        </is>
      </c>
      <c r="E96" s="37" t="inlineStr">
        <is>
          <t>Pastor Licenciado</t>
        </is>
      </c>
      <c r="F96" s="18" t="inlineStr">
        <is>
          <t>924700000</t>
        </is>
      </c>
    </row>
    <row r="97" ht="20" customHeight="1">
      <c r="A97" s="24" t="n">
        <v>94</v>
      </c>
      <c r="B97" s="39" t="inlineStr">
        <is>
          <t>Pr. Lauriano Quelino</t>
        </is>
      </c>
      <c r="C97" s="39" t="inlineStr">
        <is>
          <t>Huambo</t>
        </is>
      </c>
      <c r="D97" s="24" t="inlineStr">
        <is>
          <t>Huambo</t>
        </is>
      </c>
      <c r="E97" s="39" t="inlineStr">
        <is>
          <t>Pastor Licenciado</t>
        </is>
      </c>
      <c r="F97" s="24" t="inlineStr">
        <is>
          <t>924700001</t>
        </is>
      </c>
    </row>
    <row r="98" ht="20" customHeight="1">
      <c r="A98" s="18" t="n">
        <v>95</v>
      </c>
      <c r="B98" s="37" t="inlineStr">
        <is>
          <t>Pr. Daniel Chionga Cameia</t>
        </is>
      </c>
      <c r="C98" s="37" t="inlineStr">
        <is>
          <t>Huambo</t>
        </is>
      </c>
      <c r="D98" s="18" t="inlineStr">
        <is>
          <t>Huambo</t>
        </is>
      </c>
      <c r="E98" s="37" t="inlineStr">
        <is>
          <t>Pastor Licenciado</t>
        </is>
      </c>
      <c r="F98" s="18" t="inlineStr">
        <is>
          <t>924700002</t>
        </is>
      </c>
    </row>
    <row r="99" ht="20" customHeight="1">
      <c r="A99" s="24" t="n">
        <v>96</v>
      </c>
      <c r="B99" s="39" t="inlineStr">
        <is>
          <t>Pr. Diamantino Sawambo</t>
        </is>
      </c>
      <c r="C99" s="39" t="inlineStr">
        <is>
          <t>Huambo</t>
        </is>
      </c>
      <c r="D99" s="24" t="inlineStr">
        <is>
          <t>Huambo</t>
        </is>
      </c>
      <c r="E99" s="39" t="inlineStr">
        <is>
          <t>Pastor Licenciado</t>
        </is>
      </c>
      <c r="F99" s="24" t="inlineStr">
        <is>
          <t>924700003</t>
        </is>
      </c>
    </row>
    <row r="100" ht="20" customHeight="1">
      <c r="A100" s="18" t="n">
        <v>97</v>
      </c>
      <c r="B100" s="37" t="inlineStr">
        <is>
          <t>Pr. Tchindongo Djimbo</t>
        </is>
      </c>
      <c r="C100" s="37" t="inlineStr">
        <is>
          <t>Huambo</t>
        </is>
      </c>
      <c r="D100" s="18" t="inlineStr">
        <is>
          <t>Huambo</t>
        </is>
      </c>
      <c r="E100" s="37" t="inlineStr">
        <is>
          <t>Pastor Licenciado</t>
        </is>
      </c>
      <c r="F100" s="18" t="inlineStr">
        <is>
          <t>924700004</t>
        </is>
      </c>
    </row>
    <row r="101" ht="20" customHeight="1">
      <c r="A101" s="24" t="n">
        <v>98</v>
      </c>
      <c r="B101" s="39" t="inlineStr">
        <is>
          <t>Pr. Isaias Sabonete</t>
        </is>
      </c>
      <c r="C101" s="39" t="inlineStr">
        <is>
          <t>Huambo</t>
        </is>
      </c>
      <c r="D101" s="24" t="inlineStr">
        <is>
          <t>Huambo</t>
        </is>
      </c>
      <c r="E101" s="39" t="inlineStr">
        <is>
          <t>Pastor Licenciado</t>
        </is>
      </c>
      <c r="F101" s="24" t="inlineStr">
        <is>
          <t>924700005</t>
        </is>
      </c>
    </row>
    <row r="102" ht="20" customHeight="1">
      <c r="A102" s="18" t="n">
        <v>99</v>
      </c>
      <c r="B102" s="37" t="inlineStr">
        <is>
          <t>Pr. Nicolau Jacob Soma</t>
        </is>
      </c>
      <c r="C102" s="37" t="inlineStr">
        <is>
          <t>Huambo</t>
        </is>
      </c>
      <c r="D102" s="18" t="inlineStr">
        <is>
          <t>Huambo</t>
        </is>
      </c>
      <c r="E102" s="37" t="inlineStr">
        <is>
          <t>Pastor Licenciado</t>
        </is>
      </c>
      <c r="F102" s="18" t="inlineStr">
        <is>
          <t>924700006</t>
        </is>
      </c>
    </row>
    <row r="103" ht="20" customHeight="1">
      <c r="A103" s="24" t="n">
        <v>100</v>
      </c>
      <c r="B103" s="39" t="inlineStr">
        <is>
          <t>Pr. Eugénio Capiñgala Manuel</t>
        </is>
      </c>
      <c r="C103" s="39" t="inlineStr">
        <is>
          <t>Missão Centro</t>
        </is>
      </c>
      <c r="D103" s="24" t="inlineStr">
        <is>
          <t>Huambo</t>
        </is>
      </c>
      <c r="E103" s="39" t="inlineStr">
        <is>
          <t>Pastor Departamental</t>
        </is>
      </c>
      <c r="F103" s="24" t="inlineStr">
        <is>
          <t>927585600</t>
        </is>
      </c>
    </row>
  </sheetData>
  <autoFilter ref="A3:F103"/>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showGridLines="1" workbookViewId="0">
      <pane ySplit="3" topLeftCell="A4" activePane="bottomLeft" state="frozen"/>
      <selection pane="bottomLeft" activeCell="A1" sqref="A1"/>
    </sheetView>
  </sheetViews>
  <sheetFormatPr baseColWidth="8" defaultRowHeight="15"/>
  <cols>
    <col width="8" customWidth="1" min="1" max="1"/>
    <col width="30" customWidth="1" min="2" max="2"/>
    <col width="22" customWidth="1" min="3" max="3"/>
    <col width="18" customWidth="1" min="4" max="4"/>
    <col width="16" customWidth="1" min="5" max="5"/>
    <col width="28" customWidth="1" min="6" max="6"/>
    <col width="16" customWidth="1" min="7" max="7"/>
  </cols>
  <sheetData>
    <row r="1" ht="36" customHeight="1">
      <c r="A1" s="1" t="inlineStr">
        <is>
          <t>MAPEAMENTO DISTRITAL E CONGREGAÇÕES (TOTAL 330) - MCASD 2026</t>
        </is>
      </c>
    </row>
    <row r="2" ht="20" customHeight="1">
      <c r="A2" s="2" t="inlineStr">
        <is>
          <t>Desenvolvido por Valentino Canguele - Huambo, Bié, Cubango, Quando</t>
        </is>
      </c>
    </row>
    <row r="3" ht="26" customHeight="1">
      <c r="A3" s="36" t="inlineStr">
        <is>
          <t>CN</t>
        </is>
      </c>
      <c r="B3" s="36" t="inlineStr">
        <is>
          <t>Nome da Igreja / Congregação</t>
        </is>
      </c>
      <c r="C3" s="36" t="inlineStr">
        <is>
          <t>Distrito</t>
        </is>
      </c>
      <c r="D3" s="36" t="inlineStr">
        <is>
          <t>Município</t>
        </is>
      </c>
      <c r="E3" s="36" t="inlineStr">
        <is>
          <t>Província</t>
        </is>
      </c>
      <c r="F3" s="36" t="inlineStr">
        <is>
          <t>Delegado Responsável</t>
        </is>
      </c>
      <c r="G3" s="36" t="inlineStr">
        <is>
          <t>Data do Congresso</t>
        </is>
      </c>
    </row>
    <row r="4" ht="20" customHeight="1">
      <c r="A4" s="18" t="inlineStr">
        <is>
          <t>001</t>
        </is>
      </c>
      <c r="B4" s="37" t="inlineStr">
        <is>
          <t>Central Huambo</t>
        </is>
      </c>
      <c r="C4" s="37" t="inlineStr">
        <is>
          <t>Distrito Centro</t>
        </is>
      </c>
      <c r="D4" s="37" t="inlineStr">
        <is>
          <t>Huambo</t>
        </is>
      </c>
      <c r="E4" s="18" t="inlineStr">
        <is>
          <t>Huambo</t>
        </is>
      </c>
      <c r="F4" s="37" t="inlineStr">
        <is>
          <t>Tyindongo Ndjimbo</t>
        </is>
      </c>
      <c r="G4" s="18" t="inlineStr">
        <is>
          <t>11-13-SET</t>
        </is>
      </c>
    </row>
    <row r="5" ht="20" customHeight="1">
      <c r="A5" s="24" t="inlineStr">
        <is>
          <t>002</t>
        </is>
      </c>
      <c r="B5" s="39" t="inlineStr">
        <is>
          <t>Lossambo</t>
        </is>
      </c>
      <c r="C5" s="39" t="inlineStr">
        <is>
          <t>Distrito Centro</t>
        </is>
      </c>
      <c r="D5" s="39" t="inlineStr">
        <is>
          <t>Huambo</t>
        </is>
      </c>
      <c r="E5" s="24" t="inlineStr">
        <is>
          <t>Huambo</t>
        </is>
      </c>
      <c r="F5" s="39" t="inlineStr">
        <is>
          <t>Rodrigues Kambanji</t>
        </is>
      </c>
      <c r="G5" s="24" t="inlineStr">
        <is>
          <t>11-13-SET</t>
        </is>
      </c>
    </row>
    <row r="6" ht="20" customHeight="1">
      <c r="A6" s="18" t="inlineStr">
        <is>
          <t>003</t>
        </is>
      </c>
      <c r="B6" s="37" t="inlineStr">
        <is>
          <t>Novo Templo</t>
        </is>
      </c>
      <c r="C6" s="37" t="inlineStr">
        <is>
          <t>Distrito Centro</t>
        </is>
      </c>
      <c r="D6" s="37" t="inlineStr">
        <is>
          <t>Huambo</t>
        </is>
      </c>
      <c r="E6" s="18" t="inlineStr">
        <is>
          <t>Huambo</t>
        </is>
      </c>
      <c r="F6" s="37" t="inlineStr">
        <is>
          <t>Enoque Paulino</t>
        </is>
      </c>
      <c r="G6" s="18" t="inlineStr">
        <is>
          <t>11-13-SET</t>
        </is>
      </c>
    </row>
    <row r="7" ht="20" customHeight="1">
      <c r="A7" s="24" t="inlineStr">
        <is>
          <t>004</t>
        </is>
      </c>
      <c r="B7" s="39" t="inlineStr">
        <is>
          <t>Universitária</t>
        </is>
      </c>
      <c r="C7" s="39" t="inlineStr">
        <is>
          <t>Distrito Centro</t>
        </is>
      </c>
      <c r="D7" s="39" t="inlineStr">
        <is>
          <t>Huambo</t>
        </is>
      </c>
      <c r="E7" s="24" t="inlineStr">
        <is>
          <t>Huambo</t>
        </is>
      </c>
      <c r="F7" s="39" t="inlineStr">
        <is>
          <t>Caquinda Restino</t>
        </is>
      </c>
      <c r="G7" s="24" t="inlineStr">
        <is>
          <t>11-13-SET</t>
        </is>
      </c>
    </row>
    <row r="8" ht="20" customHeight="1">
      <c r="A8" s="18" t="inlineStr">
        <is>
          <t>005</t>
        </is>
      </c>
      <c r="B8" s="37" t="inlineStr">
        <is>
          <t>Alfa</t>
        </is>
      </c>
      <c r="C8" s="37" t="inlineStr">
        <is>
          <t>Benfica Norte</t>
        </is>
      </c>
      <c r="D8" s="37" t="inlineStr">
        <is>
          <t>Huambo</t>
        </is>
      </c>
      <c r="E8" s="18" t="inlineStr">
        <is>
          <t>Huambo</t>
        </is>
      </c>
      <c r="F8" s="37" t="inlineStr">
        <is>
          <t>Pr. Lauriano Salote</t>
        </is>
      </c>
      <c r="G8" s="18" t="inlineStr">
        <is>
          <t>11-13-SET</t>
        </is>
      </c>
    </row>
    <row r="9" ht="20" customHeight="1">
      <c r="A9" s="24" t="inlineStr">
        <is>
          <t>006</t>
        </is>
      </c>
      <c r="B9" s="39" t="inlineStr">
        <is>
          <t>Listra</t>
        </is>
      </c>
      <c r="C9" s="39" t="inlineStr">
        <is>
          <t>Benfica Norte</t>
        </is>
      </c>
      <c r="D9" s="39" t="inlineStr">
        <is>
          <t>Huambo</t>
        </is>
      </c>
      <c r="E9" s="24" t="inlineStr">
        <is>
          <t>Huambo</t>
        </is>
      </c>
      <c r="F9" s="39" t="inlineStr">
        <is>
          <t>Ancião Sabino Leo Sankulo</t>
        </is>
      </c>
      <c r="G9" s="24" t="inlineStr">
        <is>
          <t>11-13-SET</t>
        </is>
      </c>
    </row>
    <row r="10" ht="20" customHeight="1">
      <c r="A10" s="18" t="inlineStr">
        <is>
          <t>007</t>
        </is>
      </c>
      <c r="B10" s="37" t="inlineStr">
        <is>
          <t>Ómega</t>
        </is>
      </c>
      <c r="C10" s="37" t="inlineStr">
        <is>
          <t>Benfica Norte</t>
        </is>
      </c>
      <c r="D10" s="37" t="inlineStr">
        <is>
          <t>Huambo</t>
        </is>
      </c>
      <c r="E10" s="18" t="inlineStr">
        <is>
          <t>Huambo</t>
        </is>
      </c>
      <c r="F10" s="37" t="inlineStr">
        <is>
          <t>Pr. Madureira Chiwissi</t>
        </is>
      </c>
      <c r="G10" s="18" t="inlineStr">
        <is>
          <t>11-13-SET</t>
        </is>
      </c>
    </row>
    <row r="11" ht="20" customHeight="1">
      <c r="A11" s="24" t="inlineStr">
        <is>
          <t>008</t>
        </is>
      </c>
      <c r="B11" s="39" t="inlineStr">
        <is>
          <t>Smirna</t>
        </is>
      </c>
      <c r="C11" s="39" t="inlineStr">
        <is>
          <t>Benfica Norte</t>
        </is>
      </c>
      <c r="D11" s="39" t="inlineStr">
        <is>
          <t>Huambo</t>
        </is>
      </c>
      <c r="E11" s="24" t="inlineStr">
        <is>
          <t>Huambo</t>
        </is>
      </c>
      <c r="F11" s="39" t="inlineStr">
        <is>
          <t>Pr. Isaias Sabonete</t>
        </is>
      </c>
      <c r="G11" s="24" t="inlineStr">
        <is>
          <t>11-13-SET</t>
        </is>
      </c>
    </row>
    <row r="12" ht="20" customHeight="1">
      <c r="A12" s="18" t="inlineStr">
        <is>
          <t>009</t>
        </is>
      </c>
      <c r="B12" s="37" t="inlineStr">
        <is>
          <t>Betel</t>
        </is>
      </c>
      <c r="C12" s="37" t="inlineStr">
        <is>
          <t>Benfica Sul</t>
        </is>
      </c>
      <c r="D12" s="37" t="inlineStr">
        <is>
          <t>Huambo</t>
        </is>
      </c>
      <c r="E12" s="18" t="inlineStr">
        <is>
          <t>Huambo</t>
        </is>
      </c>
      <c r="F12" s="37" t="inlineStr">
        <is>
          <t>Pr. Ermenegildo Sacanjala</t>
        </is>
      </c>
      <c r="G12" s="18" t="inlineStr">
        <is>
          <t>11-13-SET</t>
        </is>
      </c>
    </row>
    <row r="13" ht="20" customHeight="1">
      <c r="A13" s="24" t="inlineStr">
        <is>
          <t>010</t>
        </is>
      </c>
      <c r="B13" s="39" t="inlineStr">
        <is>
          <t>Brigada</t>
        </is>
      </c>
      <c r="C13" s="39" t="inlineStr">
        <is>
          <t>Benfica Sul</t>
        </is>
      </c>
      <c r="D13" s="39" t="inlineStr">
        <is>
          <t>Huambo</t>
        </is>
      </c>
      <c r="E13" s="24" t="inlineStr">
        <is>
          <t>Huambo</t>
        </is>
      </c>
      <c r="F13" s="39" t="inlineStr">
        <is>
          <t>Pr. Eduardo Masculino</t>
        </is>
      </c>
      <c r="G13" s="24" t="inlineStr">
        <is>
          <t>11-13-SET</t>
        </is>
      </c>
    </row>
    <row r="14" ht="20" customHeight="1">
      <c r="A14" s="18" t="inlineStr">
        <is>
          <t>011</t>
        </is>
      </c>
      <c r="B14" s="37" t="inlineStr">
        <is>
          <t>Ebenezer – Conferencias</t>
        </is>
      </c>
      <c r="C14" s="37" t="inlineStr">
        <is>
          <t>Benfica Sul</t>
        </is>
      </c>
      <c r="D14" s="37" t="inlineStr">
        <is>
          <t>Huambo</t>
        </is>
      </c>
      <c r="E14" s="18" t="inlineStr">
        <is>
          <t>Huambo</t>
        </is>
      </c>
      <c r="F14" s="37" t="inlineStr">
        <is>
          <t>Pr. Vasco Arlindo Batista</t>
        </is>
      </c>
      <c r="G14" s="18" t="inlineStr">
        <is>
          <t>20-26-SET</t>
        </is>
      </c>
    </row>
    <row r="15" ht="20" customHeight="1">
      <c r="A15" s="24" t="inlineStr">
        <is>
          <t>012</t>
        </is>
      </c>
      <c r="B15" s="39" t="inlineStr">
        <is>
          <t>Filadélfia</t>
        </is>
      </c>
      <c r="C15" s="39" t="inlineStr">
        <is>
          <t>Benfica Sul</t>
        </is>
      </c>
      <c r="D15" s="39" t="inlineStr">
        <is>
          <t>Huambo</t>
        </is>
      </c>
      <c r="E15" s="24" t="inlineStr">
        <is>
          <t>Huambo</t>
        </is>
      </c>
      <c r="F15" s="39" t="inlineStr">
        <is>
          <t>Pr. Adriano Delfin Feka</t>
        </is>
      </c>
      <c r="G15" s="24" t="inlineStr">
        <is>
          <t>11-13-SET</t>
        </is>
      </c>
    </row>
    <row r="16" ht="20" customHeight="1">
      <c r="A16" s="18" t="inlineStr">
        <is>
          <t>013</t>
        </is>
      </c>
      <c r="B16" s="37" t="inlineStr">
        <is>
          <t>Jerusalém</t>
        </is>
      </c>
      <c r="C16" s="37" t="inlineStr">
        <is>
          <t>Benfica Sul</t>
        </is>
      </c>
      <c r="D16" s="37" t="inlineStr">
        <is>
          <t>Huambo</t>
        </is>
      </c>
      <c r="E16" s="18" t="inlineStr">
        <is>
          <t>Huambo</t>
        </is>
      </c>
      <c r="F16" s="37" t="inlineStr">
        <is>
          <t>Pr. Figueiredo Caculo</t>
        </is>
      </c>
      <c r="G16" s="18" t="inlineStr">
        <is>
          <t>11-13-SET</t>
        </is>
      </c>
    </row>
    <row r="17" ht="20" customHeight="1">
      <c r="A17" s="24" t="inlineStr">
        <is>
          <t>014</t>
        </is>
      </c>
      <c r="B17" s="39" t="inlineStr">
        <is>
          <t>Nazaré</t>
        </is>
      </c>
      <c r="C17" s="39" t="inlineStr">
        <is>
          <t>Benfica Sul</t>
        </is>
      </c>
      <c r="D17" s="39" t="inlineStr">
        <is>
          <t>Huambo</t>
        </is>
      </c>
      <c r="E17" s="24" t="inlineStr">
        <is>
          <t>Huambo</t>
        </is>
      </c>
      <c r="F17" s="39" t="inlineStr">
        <is>
          <t>Pr. Teodoro Cussumua</t>
        </is>
      </c>
      <c r="G17" s="24" t="inlineStr">
        <is>
          <t>11-13-SET</t>
        </is>
      </c>
    </row>
    <row r="18" ht="20" customHeight="1">
      <c r="A18" s="18" t="inlineStr">
        <is>
          <t>015</t>
        </is>
      </c>
      <c r="B18" s="37" t="inlineStr">
        <is>
          <t>Bereia Calute</t>
        </is>
      </c>
      <c r="C18" s="37" t="inlineStr">
        <is>
          <t>Benfica Sul</t>
        </is>
      </c>
      <c r="D18" s="37" t="inlineStr">
        <is>
          <t>Huambo</t>
        </is>
      </c>
      <c r="E18" s="18" t="inlineStr">
        <is>
          <t>Huambo</t>
        </is>
      </c>
      <c r="F18" s="37" t="inlineStr">
        <is>
          <t>Pr. Valentino Canguele</t>
        </is>
      </c>
      <c r="G18" s="18" t="inlineStr">
        <is>
          <t>11-13-SET</t>
        </is>
      </c>
    </row>
    <row r="19" ht="20" customHeight="1">
      <c r="A19" s="24" t="inlineStr">
        <is>
          <t>016</t>
        </is>
      </c>
      <c r="B19" s="39" t="inlineStr">
        <is>
          <t>Canaã Lisíssimo</t>
        </is>
      </c>
      <c r="C19" s="39" t="inlineStr">
        <is>
          <t>Calomanda</t>
        </is>
      </c>
      <c r="D19" s="39" t="inlineStr">
        <is>
          <t>Huambo</t>
        </is>
      </c>
      <c r="E19" s="24" t="inlineStr">
        <is>
          <t>Huambo</t>
        </is>
      </c>
      <c r="F19" s="39" t="inlineStr">
        <is>
          <t>Pr. Bonefácio Manuel Chiombe</t>
        </is>
      </c>
      <c r="G19" s="24" t="inlineStr">
        <is>
          <t>11-13-SET</t>
        </is>
      </c>
    </row>
    <row r="20" ht="20" customHeight="1">
      <c r="A20" s="18" t="inlineStr">
        <is>
          <t>017</t>
        </is>
      </c>
      <c r="B20" s="37" t="inlineStr">
        <is>
          <t>Cristo Rei-Aviação</t>
        </is>
      </c>
      <c r="C20" s="37" t="inlineStr">
        <is>
          <t>Calomanda</t>
        </is>
      </c>
      <c r="D20" s="37" t="inlineStr">
        <is>
          <t>Huambo</t>
        </is>
      </c>
      <c r="E20" s="18" t="inlineStr">
        <is>
          <t>Huambo</t>
        </is>
      </c>
      <c r="F20" s="37" t="inlineStr">
        <is>
          <t>Pr. Evaristo Chipopa</t>
        </is>
      </c>
      <c r="G20" s="18" t="inlineStr">
        <is>
          <t>11-13-SET</t>
        </is>
      </c>
    </row>
    <row r="21" ht="20" customHeight="1">
      <c r="A21" s="24" t="inlineStr">
        <is>
          <t>018</t>
        </is>
      </c>
      <c r="B21" s="39" t="inlineStr">
        <is>
          <t>Gerezim</t>
        </is>
      </c>
      <c r="C21" s="39" t="inlineStr">
        <is>
          <t>Calomanda</t>
        </is>
      </c>
      <c r="D21" s="39" t="inlineStr">
        <is>
          <t>Huambo</t>
        </is>
      </c>
      <c r="E21" s="24" t="inlineStr">
        <is>
          <t>Huambo</t>
        </is>
      </c>
      <c r="F21" s="39" t="inlineStr">
        <is>
          <t>Pr. Galvão Vasco Chalale</t>
        </is>
      </c>
      <c r="G21" s="24" t="inlineStr">
        <is>
          <t>11-13-SET</t>
        </is>
      </c>
    </row>
    <row r="22" ht="20" customHeight="1">
      <c r="A22" s="18" t="inlineStr">
        <is>
          <t>019</t>
        </is>
      </c>
      <c r="B22" s="37" t="inlineStr">
        <is>
          <t>Gozem, Canaã e Galileia</t>
        </is>
      </c>
      <c r="C22" s="37" t="inlineStr">
        <is>
          <t>Calomanda</t>
        </is>
      </c>
      <c r="D22" s="37" t="inlineStr">
        <is>
          <t>Huambo</t>
        </is>
      </c>
      <c r="E22" s="18" t="inlineStr">
        <is>
          <t>Huambo</t>
        </is>
      </c>
      <c r="F22" s="37" t="inlineStr">
        <is>
          <t>Pr. Gregório Henriques</t>
        </is>
      </c>
      <c r="G22" s="18" t="inlineStr">
        <is>
          <t>11-13-SET</t>
        </is>
      </c>
    </row>
    <row r="23" ht="20" customHeight="1">
      <c r="A23" s="24" t="inlineStr">
        <is>
          <t>020</t>
        </is>
      </c>
      <c r="B23" s="39" t="inlineStr">
        <is>
          <t>Monte Horebe</t>
        </is>
      </c>
      <c r="C23" s="39" t="inlineStr">
        <is>
          <t>Calomanda</t>
        </is>
      </c>
      <c r="D23" s="39" t="inlineStr">
        <is>
          <t>Huambo</t>
        </is>
      </c>
      <c r="E23" s="24" t="inlineStr">
        <is>
          <t>Huambo</t>
        </is>
      </c>
      <c r="F23" s="39" t="inlineStr">
        <is>
          <t>Pr. Francisco Fela</t>
        </is>
      </c>
      <c r="G23" s="24" t="inlineStr">
        <is>
          <t>11-13-SET</t>
        </is>
      </c>
    </row>
    <row r="24" ht="20" customHeight="1">
      <c r="A24" s="18" t="inlineStr">
        <is>
          <t>080</t>
        </is>
      </c>
      <c r="B24" s="37" t="inlineStr">
        <is>
          <t>Canaã</t>
        </is>
      </c>
      <c r="C24" s="37" t="inlineStr">
        <is>
          <t>Centro da Caála</t>
        </is>
      </c>
      <c r="D24" s="37" t="inlineStr">
        <is>
          <t>Caála</t>
        </is>
      </c>
      <c r="E24" s="18" t="inlineStr">
        <is>
          <t>Huambo</t>
        </is>
      </c>
      <c r="F24" s="37" t="inlineStr">
        <is>
          <t>Pr. Manuel Nunda Bongue</t>
        </is>
      </c>
      <c r="G24" s="18" t="inlineStr">
        <is>
          <t>4-6-SET</t>
        </is>
      </c>
    </row>
    <row r="25" ht="20" customHeight="1">
      <c r="A25" s="24" t="inlineStr">
        <is>
          <t>081</t>
        </is>
      </c>
      <c r="B25" s="39" t="inlineStr">
        <is>
          <t>Central Caála</t>
        </is>
      </c>
      <c r="C25" s="39" t="inlineStr">
        <is>
          <t>Centro da Caála</t>
        </is>
      </c>
      <c r="D25" s="39" t="inlineStr">
        <is>
          <t>Caála</t>
        </is>
      </c>
      <c r="E25" s="24" t="inlineStr">
        <is>
          <t>Huambo</t>
        </is>
      </c>
      <c r="F25" s="39" t="inlineStr">
        <is>
          <t>Pr. Antunes Bastos</t>
        </is>
      </c>
      <c r="G25" s="24" t="inlineStr">
        <is>
          <t>4-6-SET</t>
        </is>
      </c>
    </row>
    <row r="26" ht="20" customHeight="1">
      <c r="A26" s="18" t="inlineStr">
        <is>
          <t>082</t>
        </is>
      </c>
      <c r="B26" s="37" t="inlineStr">
        <is>
          <t>Filadelfia e Ebenezer</t>
        </is>
      </c>
      <c r="C26" s="37" t="inlineStr">
        <is>
          <t>Centro da Caála</t>
        </is>
      </c>
      <c r="D26" s="37" t="inlineStr">
        <is>
          <t>Caála</t>
        </is>
      </c>
      <c r="E26" s="18" t="inlineStr">
        <is>
          <t>Huambo</t>
        </is>
      </c>
      <c r="F26" s="37" t="inlineStr">
        <is>
          <t>Pr. Nelito Jaime</t>
        </is>
      </c>
      <c r="G26" s="18" t="inlineStr">
        <is>
          <t>4-6-SET</t>
        </is>
      </c>
    </row>
    <row r="27" ht="20" customHeight="1">
      <c r="A27" s="24" t="inlineStr">
        <is>
          <t>083</t>
        </is>
      </c>
      <c r="B27" s="39" t="inlineStr">
        <is>
          <t>Macedónia - Mussili</t>
        </is>
      </c>
      <c r="C27" s="39" t="inlineStr">
        <is>
          <t>Centro da Caála</t>
        </is>
      </c>
      <c r="D27" s="39" t="inlineStr">
        <is>
          <t>Caála</t>
        </is>
      </c>
      <c r="E27" s="24" t="inlineStr">
        <is>
          <t>Huambo</t>
        </is>
      </c>
      <c r="F27" s="39" t="inlineStr">
        <is>
          <t>Pr. Silva Moisés Joaquim</t>
        </is>
      </c>
      <c r="G27" s="24" t="inlineStr">
        <is>
          <t>4-6-SET</t>
        </is>
      </c>
    </row>
    <row r="28" ht="20" customHeight="1">
      <c r="A28" s="18" t="inlineStr">
        <is>
          <t>250</t>
        </is>
      </c>
      <c r="B28" s="37" t="inlineStr">
        <is>
          <t>Central Cuito</t>
        </is>
      </c>
      <c r="C28" s="37" t="inlineStr">
        <is>
          <t>Distrito Centro</t>
        </is>
      </c>
      <c r="D28" s="37" t="inlineStr">
        <is>
          <t>Cuito</t>
        </is>
      </c>
      <c r="E28" s="18" t="inlineStr">
        <is>
          <t>Bié</t>
        </is>
      </c>
      <c r="F28" s="37" t="inlineStr">
        <is>
          <t>Pr. Enoque Paulino</t>
        </is>
      </c>
      <c r="G28" s="18" t="inlineStr">
        <is>
          <t>10-12-JUL</t>
        </is>
      </c>
    </row>
    <row r="29" ht="20" customHeight="1">
      <c r="A29" s="24" t="inlineStr">
        <is>
          <t>251</t>
        </is>
      </c>
      <c r="B29" s="39" t="inlineStr">
        <is>
          <t>Manancial Cuito</t>
        </is>
      </c>
      <c r="C29" s="39" t="inlineStr">
        <is>
          <t>Distrito Centro</t>
        </is>
      </c>
      <c r="D29" s="39" t="inlineStr">
        <is>
          <t>Cuito</t>
        </is>
      </c>
      <c r="E29" s="24" t="inlineStr">
        <is>
          <t>Bié</t>
        </is>
      </c>
      <c r="F29" s="39" t="inlineStr">
        <is>
          <t>Pr. Adriano Delfim Feka</t>
        </is>
      </c>
      <c r="G29" s="24" t="inlineStr">
        <is>
          <t>10-12-JUL</t>
        </is>
      </c>
    </row>
    <row r="30" ht="20" customHeight="1">
      <c r="A30" s="18" t="inlineStr">
        <is>
          <t>252</t>
        </is>
      </c>
      <c r="B30" s="37" t="inlineStr">
        <is>
          <t>Monte Sinai Cuito</t>
        </is>
      </c>
      <c r="C30" s="37" t="inlineStr">
        <is>
          <t>Distrito Centro</t>
        </is>
      </c>
      <c r="D30" s="37" t="inlineStr">
        <is>
          <t>Cuito</t>
        </is>
      </c>
      <c r="E30" s="18" t="inlineStr">
        <is>
          <t>Bié</t>
        </is>
      </c>
      <c r="F30" s="37" t="inlineStr">
        <is>
          <t>Pr. António Bambi</t>
        </is>
      </c>
      <c r="G30" s="18" t="inlineStr">
        <is>
          <t>10-12-JUL</t>
        </is>
      </c>
    </row>
    <row r="31" ht="20" customHeight="1">
      <c r="A31" s="24" t="inlineStr">
        <is>
          <t>274</t>
        </is>
      </c>
      <c r="B31" s="39" t="inlineStr">
        <is>
          <t>Central Chinguar</t>
        </is>
      </c>
      <c r="C31" s="39" t="inlineStr">
        <is>
          <t>Distrito do Chinguar</t>
        </is>
      </c>
      <c r="D31" s="39" t="inlineStr">
        <is>
          <t>Chinguar</t>
        </is>
      </c>
      <c r="E31" s="24" t="inlineStr">
        <is>
          <t>Bié</t>
        </is>
      </c>
      <c r="F31" s="39" t="inlineStr">
        <is>
          <t>Pr. Manuel Nunda Bongue</t>
        </is>
      </c>
      <c r="G31" s="24" t="inlineStr">
        <is>
          <t>3-5-JUL</t>
        </is>
      </c>
    </row>
    <row r="32" ht="20" customHeight="1">
      <c r="A32" s="18" t="inlineStr">
        <is>
          <t>281</t>
        </is>
      </c>
      <c r="B32" s="37" t="inlineStr">
        <is>
          <t>Central Andulo</t>
        </is>
      </c>
      <c r="C32" s="37" t="inlineStr">
        <is>
          <t>Distrito do Andulo</t>
        </is>
      </c>
      <c r="D32" s="37" t="inlineStr">
        <is>
          <t>Andulo</t>
        </is>
      </c>
      <c r="E32" s="18" t="inlineStr">
        <is>
          <t>Bié</t>
        </is>
      </c>
      <c r="F32" s="37" t="inlineStr">
        <is>
          <t>Pr. Miguel Evaldine Praia</t>
        </is>
      </c>
      <c r="G32" s="18" t="inlineStr">
        <is>
          <t>4-6-SET</t>
        </is>
      </c>
    </row>
    <row r="33" ht="20" customHeight="1">
      <c r="A33" s="24" t="inlineStr">
        <is>
          <t>317</t>
        </is>
      </c>
      <c r="B33" s="39" t="inlineStr">
        <is>
          <t>Belém Menongue</t>
        </is>
      </c>
      <c r="C33" s="39" t="inlineStr">
        <is>
          <t>Distrito Menongue</t>
        </is>
      </c>
      <c r="D33" s="39" t="inlineStr">
        <is>
          <t>Menongue</t>
        </is>
      </c>
      <c r="E33" s="24" t="inlineStr">
        <is>
          <t>Cubango</t>
        </is>
      </c>
      <c r="F33" s="39" t="inlineStr">
        <is>
          <t>Pr. Eugenio Kapingala Manuel</t>
        </is>
      </c>
      <c r="G33" s="24" t="inlineStr">
        <is>
          <t>24-27-SET</t>
        </is>
      </c>
    </row>
    <row r="34" ht="20" customHeight="1">
      <c r="A34" s="18" t="inlineStr">
        <is>
          <t>326</t>
        </is>
      </c>
      <c r="B34" s="37" t="inlineStr">
        <is>
          <t>Cuito Cuanavale Sede</t>
        </is>
      </c>
      <c r="C34" s="37" t="inlineStr">
        <is>
          <t>Distrito Cuito Cuanavale</t>
        </is>
      </c>
      <c r="D34" s="37" t="inlineStr">
        <is>
          <t>Cuito Cuanavale</t>
        </is>
      </c>
      <c r="E34" s="18" t="inlineStr">
        <is>
          <t>Quando</t>
        </is>
      </c>
      <c r="F34" s="37" t="inlineStr">
        <is>
          <t>Pr. Florindo Chiconjo</t>
        </is>
      </c>
      <c r="G34" s="18" t="inlineStr">
        <is>
          <t>24-27-SET</t>
        </is>
      </c>
    </row>
  </sheetData>
  <autoFilter ref="A3:G3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4"/>
  <sheetViews>
    <sheetView showGridLines="1" workbookViewId="0">
      <pane ySplit="3" topLeftCell="A4" activePane="bottomLeft" state="frozen"/>
      <selection pane="bottomLeft" activeCell="A1" sqref="A1"/>
    </sheetView>
  </sheetViews>
  <sheetFormatPr baseColWidth="8" defaultRowHeight="15"/>
  <cols>
    <col width="24" customWidth="1" min="1" max="1"/>
    <col width="10" customWidth="1" min="2" max="2"/>
    <col width="35" customWidth="1" min="3" max="3"/>
    <col width="65" customWidth="1" min="4" max="4"/>
  </cols>
  <sheetData>
    <row r="1" ht="36" customHeight="1">
      <c r="A1" s="1" t="inlineStr">
        <is>
          <t>MATRIZ PARAMÉTRICA DOS 51 CRITÉRIOS DE AVALIAÇÃO PASTORAL</t>
        </is>
      </c>
    </row>
    <row r="2" ht="20" customHeight="1">
      <c r="A2" s="2" t="inlineStr">
        <is>
          <t>Estrutura de Avaliação Desenvolvida por Valentino Canguele</t>
        </is>
      </c>
    </row>
    <row r="3" ht="26" customHeight="1">
      <c r="A3" s="36" t="inlineStr">
        <is>
          <t>Área / Categoria</t>
        </is>
      </c>
      <c r="B3" s="36" t="inlineStr">
        <is>
          <t>Item Nº</t>
        </is>
      </c>
      <c r="C3" s="36" t="inlineStr">
        <is>
          <t>Nome do Critério</t>
        </is>
      </c>
      <c r="D3" s="36" t="inlineStr">
        <is>
          <t>Descrição &amp; Parâmetro de Avaliação</t>
        </is>
      </c>
    </row>
    <row r="4" ht="22" customHeight="1">
      <c r="A4" s="66" t="inlineStr">
        <is>
          <t>Assistência Pastoral</t>
        </is>
      </c>
      <c r="B4" s="18" t="n">
        <v>1</v>
      </c>
      <c r="C4" s="37" t="inlineStr">
        <is>
          <t>Pontualidade nos Cultos e Reuniões</t>
        </is>
      </c>
      <c r="D4" s="37" t="inlineStr">
        <is>
          <t>Chegada antecipada e cumprimento rigoroso dos horários previstos.</t>
        </is>
      </c>
    </row>
    <row r="5" ht="22" customHeight="1">
      <c r="A5" s="67" t="inlineStr">
        <is>
          <t>Assistência Pastoral</t>
        </is>
      </c>
      <c r="B5" s="24" t="n">
        <v>2</v>
      </c>
      <c r="C5" s="39" t="inlineStr">
        <is>
          <t>Visitação</t>
        </is>
      </c>
      <c r="D5" s="39" t="inlineStr">
        <is>
          <t>Visita regular aos membros, enfermos, desanimados e novas famílias.</t>
        </is>
      </c>
    </row>
    <row r="6" ht="22" customHeight="1">
      <c r="A6" s="66" t="inlineStr">
        <is>
          <t>Assistência Pastoral</t>
        </is>
      </c>
      <c r="B6" s="18" t="n">
        <v>3</v>
      </c>
      <c r="C6" s="37" t="inlineStr">
        <is>
          <t>Aconselhamento</t>
        </is>
      </c>
      <c r="D6" s="37" t="inlineStr">
        <is>
          <t>Orientação espiritual, ética e prudente a membros e famílias.</t>
        </is>
      </c>
    </row>
    <row r="7" ht="22" customHeight="1">
      <c r="A7" s="67" t="inlineStr">
        <is>
          <t>Assistência Pastoral</t>
        </is>
      </c>
      <c r="B7" s="24" t="n">
        <v>4</v>
      </c>
      <c r="C7" s="39" t="inlineStr">
        <is>
          <t>Espiritualidade refletida</t>
        </is>
      </c>
      <c r="D7" s="39" t="inlineStr">
        <is>
          <t>Testemunho de vida consagrada e vida de oração exemplar.</t>
        </is>
      </c>
    </row>
    <row r="8" ht="22" customHeight="1">
      <c r="A8" s="66" t="inlineStr">
        <is>
          <t>Assistência Pastoral</t>
        </is>
      </c>
      <c r="B8" s="18" t="n">
        <v>5</v>
      </c>
      <c r="C8" s="37" t="inlineStr">
        <is>
          <t>Freqüência às atividades espirituais da igreja</t>
        </is>
      </c>
      <c r="D8" s="37" t="inlineStr">
        <is>
          <t>Participação assídua em cultos, vigílias e programas de oração.</t>
        </is>
      </c>
    </row>
    <row r="9" ht="22" customHeight="1">
      <c r="A9" s="67" t="inlineStr">
        <is>
          <t>Assistência Pastoral</t>
        </is>
      </c>
      <c r="B9" s="24" t="n">
        <v>6</v>
      </c>
      <c r="C9" s="39" t="inlineStr">
        <is>
          <t>Freqüência às atividades sociais da igreja</t>
        </is>
      </c>
      <c r="D9" s="39" t="inlineStr">
        <is>
          <t>Presença ativa em momentos de confraternização e eventos comunitários.</t>
        </is>
      </c>
    </row>
    <row r="10" ht="22" customHeight="1">
      <c r="A10" s="66" t="inlineStr">
        <is>
          <t>Assistência Pastoral</t>
        </is>
      </c>
      <c r="B10" s="18" t="n">
        <v>7</v>
      </c>
      <c r="C10" s="37" t="inlineStr">
        <is>
          <t>Apoio às atividades dos Jovens</t>
        </is>
      </c>
      <c r="D10" s="37" t="inlineStr">
        <is>
          <t>Incentivo e acompanhamento próximo aos ministérios jovens (JA, Desbravadores).</t>
        </is>
      </c>
    </row>
    <row r="11" ht="22" customHeight="1">
      <c r="A11" s="67" t="inlineStr">
        <is>
          <t>Assistência Pastoral</t>
        </is>
      </c>
      <c r="B11" s="24" t="n">
        <v>8</v>
      </c>
      <c r="C11" s="39" t="inlineStr">
        <is>
          <t>Habilidade em resolver conflitos</t>
        </is>
      </c>
      <c r="D11" s="39" t="inlineStr">
        <is>
          <t>Pacificação, equidade e sabedoria na mediação de desentendimentos.</t>
        </is>
      </c>
    </row>
    <row r="12" ht="22" customHeight="1">
      <c r="A12" s="66" t="inlineStr">
        <is>
          <t>Assistência Pastoral</t>
        </is>
      </c>
      <c r="B12" s="18" t="n">
        <v>9</v>
      </c>
      <c r="C12" s="37" t="inlineStr">
        <is>
          <t>Estudioso e com vontade de Aprender</t>
        </is>
      </c>
      <c r="D12" s="37" t="inlineStr">
        <is>
          <t>Dedicação contínua ao estudo bíblico, teológico e crescimento pessoal.</t>
        </is>
      </c>
    </row>
    <row r="13" ht="22" customHeight="1">
      <c r="A13" s="67" t="inlineStr">
        <is>
          <t>Assistência Pastoral</t>
        </is>
      </c>
      <c r="B13" s="24" t="n">
        <v>10</v>
      </c>
      <c r="C13" s="39" t="inlineStr">
        <is>
          <t>Preparo Intelectual</t>
        </is>
      </c>
      <c r="D13" s="39" t="inlineStr">
        <is>
          <t>Domínio doutrinário, cultura geral e clareza de pensamento.</t>
        </is>
      </c>
    </row>
    <row r="14" ht="22" customHeight="1">
      <c r="A14" s="66" t="inlineStr">
        <is>
          <t>Assistência Pastoral</t>
        </is>
      </c>
      <c r="B14" s="18" t="n">
        <v>11</v>
      </c>
      <c r="C14" s="37" t="inlineStr">
        <is>
          <t>Demonstra Vocação Pastoral</t>
        </is>
      </c>
      <c r="D14" s="37" t="inlineStr">
        <is>
          <t>Amor genuíno pelas almas e paixão pelo ministério evangélico.</t>
        </is>
      </c>
    </row>
    <row r="15" ht="22" customHeight="1">
      <c r="A15" s="67" t="inlineStr">
        <is>
          <t>Relacionamento Pessoal</t>
        </is>
      </c>
      <c r="B15" s="24" t="n">
        <v>1</v>
      </c>
      <c r="C15" s="39" t="inlineStr">
        <is>
          <t>Cuidado na Higiene Pessoal</t>
        </is>
      </c>
      <c r="D15" s="39" t="inlineStr">
        <is>
          <t>Apresentação limpa, asseio e cuidado postural no dia a dia.</t>
        </is>
      </c>
    </row>
    <row r="16" ht="22" customHeight="1">
      <c r="A16" s="66" t="inlineStr">
        <is>
          <t>Relacionamento Pessoal</t>
        </is>
      </c>
      <c r="B16" s="18" t="n">
        <v>2</v>
      </c>
      <c r="C16" s="37" t="inlineStr">
        <is>
          <t>Vestir-se Adequadamente</t>
        </is>
      </c>
      <c r="D16" s="37" t="inlineStr">
        <is>
          <t>Trajar-se com modéstia, elegância e decoro pastoral em todas as ocasiões.</t>
        </is>
      </c>
    </row>
    <row r="17" ht="22" customHeight="1">
      <c r="A17" s="67" t="inlineStr">
        <is>
          <t>Relacionamento Pessoal</t>
        </is>
      </c>
      <c r="B17" s="24" t="n">
        <v>3</v>
      </c>
      <c r="C17" s="39" t="inlineStr">
        <is>
          <t>Representa bem a igreja na comunidade</t>
        </is>
      </c>
      <c r="D17" s="39" t="inlineStr">
        <is>
          <t>Bom nome e testemunho irrepreensível perante a sociedade civil.</t>
        </is>
      </c>
    </row>
    <row r="18" ht="22" customHeight="1">
      <c r="A18" s="66" t="inlineStr">
        <is>
          <t>Relacionamento Pessoal</t>
        </is>
      </c>
      <c r="B18" s="18" t="n">
        <v>4</v>
      </c>
      <c r="C18" s="37" t="inlineStr">
        <is>
          <t>Atenção e Cortesia no trato com os membros</t>
        </is>
      </c>
      <c r="D18" s="37" t="inlineStr">
        <is>
          <t>Tratamento respeitoso, acolhedor e atencioso com todos os irmãos.</t>
        </is>
      </c>
    </row>
    <row r="19" ht="22" customHeight="1">
      <c r="A19" s="67" t="inlineStr">
        <is>
          <t>Relacionamento Pessoal</t>
        </is>
      </c>
      <c r="B19" s="24" t="n">
        <v>5</v>
      </c>
      <c r="C19" s="39" t="inlineStr">
        <is>
          <t>Entusiasmo e bom humor</t>
        </is>
      </c>
      <c r="D19" s="39" t="inlineStr">
        <is>
          <t>Atitude positiva, alegre e contagiante no serviço pastoral.</t>
        </is>
      </c>
    </row>
    <row r="20" ht="22" customHeight="1">
      <c r="A20" s="66" t="inlineStr">
        <is>
          <t>Relacionamento Pessoal</t>
        </is>
      </c>
      <c r="B20" s="18" t="n">
        <v>6</v>
      </c>
      <c r="C20" s="37" t="inlineStr">
        <is>
          <t>Confiabilidade</t>
        </is>
      </c>
      <c r="D20" s="37" t="inlineStr">
        <is>
          <t>Manutenção de confidencialidade, palavra honrada e lealdade.</t>
        </is>
      </c>
    </row>
    <row r="21" ht="22" customHeight="1">
      <c r="A21" s="67" t="inlineStr">
        <is>
          <t>Relacionamento Pessoal</t>
        </is>
      </c>
      <c r="B21" s="24" t="n">
        <v>7</v>
      </c>
      <c r="C21" s="39" t="inlineStr">
        <is>
          <t>Demonstração de Amizade</t>
        </is>
      </c>
      <c r="D21" s="39" t="inlineStr">
        <is>
          <t>Aproximação sincera, empatia e calor humano nas relações.</t>
        </is>
      </c>
    </row>
    <row r="22" ht="22" customHeight="1">
      <c r="A22" s="66" t="inlineStr">
        <is>
          <t>Relacionamento Pessoal</t>
        </is>
      </c>
      <c r="B22" s="18" t="n">
        <v>8</v>
      </c>
      <c r="C22" s="37" t="inlineStr">
        <is>
          <t>Humildade</t>
        </is>
      </c>
      <c r="D22" s="37" t="inlineStr">
        <is>
          <t>Disposição para ouvir, reconhecer falhas e aceitar conselhos.</t>
        </is>
      </c>
    </row>
    <row r="23" ht="22" customHeight="1">
      <c r="A23" s="67" t="inlineStr">
        <is>
          <t>Relacionamento Pessoal</t>
        </is>
      </c>
      <c r="B23" s="24" t="n">
        <v>9</v>
      </c>
      <c r="C23" s="39" t="inlineStr">
        <is>
          <t>Cortesia</t>
        </is>
      </c>
      <c r="D23" s="39" t="inlineStr">
        <is>
          <t>Boas maneiras, gentileza e educação no falar e agir.</t>
        </is>
      </c>
    </row>
    <row r="24" ht="22" customHeight="1">
      <c r="A24" s="66" t="inlineStr">
        <is>
          <t>Relacionamento Pessoal</t>
        </is>
      </c>
      <c r="B24" s="18" t="n">
        <v>10</v>
      </c>
      <c r="C24" s="37" t="inlineStr">
        <is>
          <t>Otimismo</t>
        </is>
      </c>
      <c r="D24" s="37" t="inlineStr">
        <is>
          <t>Fé nas promessas divinas e visão encorajadora diante dos desafios.</t>
        </is>
      </c>
    </row>
    <row r="25" ht="22" customHeight="1">
      <c r="A25" s="67" t="inlineStr">
        <is>
          <t>Relacionamento Pessoal</t>
        </is>
      </c>
      <c r="B25" s="24" t="n">
        <v>11</v>
      </c>
      <c r="C25" s="39" t="inlineStr">
        <is>
          <t>Maturidade e Responsabilidade</t>
        </is>
      </c>
      <c r="D25" s="39" t="inlineStr">
        <is>
          <t>Equilíbrio emocional e cumprimento criterioso dos compromissos.</t>
        </is>
      </c>
    </row>
    <row r="26" ht="22" customHeight="1">
      <c r="A26" s="66" t="inlineStr">
        <is>
          <t>Família Pastoral</t>
        </is>
      </c>
      <c r="B26" s="18" t="n">
        <v>1</v>
      </c>
      <c r="C26" s="37" t="inlineStr">
        <is>
          <t>Relacionamento com a família</t>
        </is>
      </c>
      <c r="D26" s="37" t="inlineStr">
        <is>
          <t>Harmonia, carinho, respeito e liderança amorosa no lar.</t>
        </is>
      </c>
    </row>
    <row r="27" ht="22" customHeight="1">
      <c r="A27" s="67" t="inlineStr">
        <is>
          <t>Família Pastoral</t>
        </is>
      </c>
      <c r="B27" s="24" t="n">
        <v>2</v>
      </c>
      <c r="C27" s="39" t="inlineStr">
        <is>
          <t>Envolvimento da Esposa nas Atividades da Igreja</t>
        </is>
      </c>
      <c r="D27" s="39" t="inlineStr">
        <is>
          <t>Participação voluntária e integradora da esposa nos ministérios.</t>
        </is>
      </c>
    </row>
    <row r="28" ht="22" customHeight="1">
      <c r="A28" s="66" t="inlineStr">
        <is>
          <t>Família Pastoral</t>
        </is>
      </c>
      <c r="B28" s="18" t="n">
        <v>3</v>
      </c>
      <c r="C28" s="37" t="inlineStr">
        <is>
          <t>Testemunho da esposa com os princípios da Igreja</t>
        </is>
      </c>
      <c r="D28" s="37" t="inlineStr">
        <is>
          <t>Conduta exemplar da esposa na fé, modéstia e vida cristã.</t>
        </is>
      </c>
    </row>
    <row r="29" ht="22" customHeight="1">
      <c r="A29" s="67" t="inlineStr">
        <is>
          <t>Família Pastoral</t>
        </is>
      </c>
      <c r="B29" s="24" t="n">
        <v>4</v>
      </c>
      <c r="C29" s="39" t="inlineStr">
        <is>
          <t>Testemunho dos Filhos</t>
        </is>
      </c>
      <c r="D29" s="39" t="inlineStr">
        <is>
          <t>Comportamento respeitoso e bom testemunho dos filhos na igreja/comunidade.</t>
        </is>
      </c>
    </row>
    <row r="30" ht="22" customHeight="1">
      <c r="A30" s="66" t="inlineStr">
        <is>
          <t>Família Pastoral</t>
        </is>
      </c>
      <c r="B30" s="18" t="n">
        <v>5</v>
      </c>
      <c r="C30" s="37" t="inlineStr">
        <is>
          <t>Administra bem as Finanças da Família</t>
        </is>
      </c>
      <c r="D30" s="37" t="inlineStr">
        <is>
          <t>Orçamento familiar equilibrado, fidelidade nos dízimos e honra a dívidas.</t>
        </is>
      </c>
    </row>
    <row r="31" ht="22" customHeight="1">
      <c r="A31" s="67" t="inlineStr">
        <is>
          <t>Sermões</t>
        </is>
      </c>
      <c r="B31" s="24" t="n">
        <v>1</v>
      </c>
      <c r="C31" s="39" t="inlineStr">
        <is>
          <t>Claros e Convincentes</t>
        </is>
      </c>
      <c r="D31" s="39" t="inlineStr">
        <is>
          <t>Pregação compreensível, lógica, persuasiva e embasada na Bíblia.</t>
        </is>
      </c>
    </row>
    <row r="32" ht="22" customHeight="1">
      <c r="A32" s="66" t="inlineStr">
        <is>
          <t>Sermões</t>
        </is>
      </c>
      <c r="B32" s="18" t="n">
        <v>2</v>
      </c>
      <c r="C32" s="37" t="inlineStr">
        <is>
          <t>Cristocêntricos</t>
        </is>
      </c>
      <c r="D32" s="37" t="inlineStr">
        <is>
          <t>Mensagens que exaltam a pessoa, sacrifício e graça de Jesus Cristo.</t>
        </is>
      </c>
    </row>
    <row r="33" ht="22" customHeight="1">
      <c r="A33" s="67" t="inlineStr">
        <is>
          <t>Sermões</t>
        </is>
      </c>
      <c r="B33" s="24" t="n">
        <v>3</v>
      </c>
      <c r="C33" s="39" t="inlineStr">
        <is>
          <t>Conteúdo adequado às necessidades dos membros</t>
        </is>
      </c>
      <c r="D33" s="39" t="inlineStr">
        <is>
          <t>Sermões práticos, oportunos e edificantes para a realidade local.</t>
        </is>
      </c>
    </row>
    <row r="34" ht="22" customHeight="1">
      <c r="A34" s="66" t="inlineStr">
        <is>
          <t>Sermões</t>
        </is>
      </c>
      <c r="B34" s="18" t="n">
        <v>4</v>
      </c>
      <c r="C34" s="37" t="inlineStr">
        <is>
          <t>Bem organizados</t>
        </is>
      </c>
      <c r="D34" s="37" t="inlineStr">
        <is>
          <t>Estrutura homilética bem definida (introdução, corpo, aplicação, apelo).</t>
        </is>
      </c>
    </row>
    <row r="35" ht="22" customHeight="1">
      <c r="A35" s="67" t="inlineStr">
        <is>
          <t>Sermões</t>
        </is>
      </c>
      <c r="B35" s="24" t="n">
        <v>5</v>
      </c>
      <c r="C35" s="39" t="inlineStr">
        <is>
          <t>Dentro do tempo</t>
        </is>
      </c>
      <c r="D35" s="39" t="inlineStr">
        <is>
          <t>Respeito rigoroso à duração recomendada para os sermões e cultos.</t>
        </is>
      </c>
    </row>
    <row r="36" ht="22" customHeight="1">
      <c r="A36" s="66" t="inlineStr">
        <is>
          <t>Sermões</t>
        </is>
      </c>
      <c r="B36" s="18" t="n">
        <v>6</v>
      </c>
      <c r="C36" s="37" t="inlineStr">
        <is>
          <t>Espontâneo ao pregar</t>
        </is>
      </c>
      <c r="D36" s="37" t="inlineStr">
        <is>
          <t>Comunicação natural, fluida, sem leitura engessada de manuscritos.</t>
        </is>
      </c>
    </row>
    <row r="37" ht="22" customHeight="1">
      <c r="A37" s="67" t="inlineStr">
        <is>
          <t>Sermões</t>
        </is>
      </c>
      <c r="B37" s="24" t="n">
        <v>7</v>
      </c>
      <c r="C37" s="39" t="inlineStr">
        <is>
          <t>Pregador Equilibrado</t>
        </is>
      </c>
      <c r="D37" s="39" t="inlineStr">
        <is>
          <t>Postura sem fanatismo, extremismos ou linguagem agressiva.</t>
        </is>
      </c>
    </row>
    <row r="38" ht="22" customHeight="1">
      <c r="A38" s="66" t="inlineStr">
        <is>
          <t>Sermões</t>
        </is>
      </c>
      <c r="B38" s="18" t="n">
        <v>8</v>
      </c>
      <c r="C38" s="37" t="inlineStr">
        <is>
          <t>Tem Plano (calendário) de pregação</t>
        </is>
      </c>
      <c r="D38" s="37" t="inlineStr">
        <is>
          <t>Planejamento sistemático e variado dos temas sermônicos do ano.</t>
        </is>
      </c>
    </row>
    <row r="39" ht="22" customHeight="1">
      <c r="A39" s="67" t="inlineStr">
        <is>
          <t>Administração</t>
        </is>
      </c>
      <c r="B39" s="24" t="n">
        <v>1</v>
      </c>
      <c r="C39" s="39" t="inlineStr">
        <is>
          <t>Pontualidade</t>
        </is>
      </c>
      <c r="D39" s="39" t="inlineStr">
        <is>
          <t>Cumprimento pontual de reuniões, relatórios e prazos administrativos.</t>
        </is>
      </c>
    </row>
    <row r="40" ht="22" customHeight="1">
      <c r="A40" s="66" t="inlineStr">
        <is>
          <t>Administração</t>
        </is>
      </c>
      <c r="B40" s="18" t="n">
        <v>2</v>
      </c>
      <c r="C40" s="37" t="inlineStr">
        <is>
          <t>Organização</t>
        </is>
      </c>
      <c r="D40" s="37" t="inlineStr">
        <is>
          <t>Sistematização de arquivos, dados da igreja e agenda pastoral.</t>
        </is>
      </c>
    </row>
    <row r="41" ht="22" customHeight="1">
      <c r="A41" s="67" t="inlineStr">
        <is>
          <t>Administração</t>
        </is>
      </c>
      <c r="B41" s="24" t="n">
        <v>3</v>
      </c>
      <c r="C41" s="39" t="inlineStr">
        <is>
          <t>Imparcialidade</t>
        </is>
      </c>
      <c r="D41" s="39" t="inlineStr">
        <is>
          <t>Tratamento justo, sem favoritismo nem parcialidade nas decisões.</t>
        </is>
      </c>
    </row>
    <row r="42" ht="22" customHeight="1">
      <c r="A42" s="66" t="inlineStr">
        <is>
          <t>Administração</t>
        </is>
      </c>
      <c r="B42" s="18" t="n">
        <v>4</v>
      </c>
      <c r="C42" s="37" t="inlineStr">
        <is>
          <t>Iniciativa</t>
        </is>
      </c>
      <c r="D42" s="37" t="inlineStr">
        <is>
          <t>Proatividade na identificação e solução de problemas locais.</t>
        </is>
      </c>
    </row>
    <row r="43" ht="22" customHeight="1">
      <c r="A43" s="67" t="inlineStr">
        <is>
          <t>Administração</t>
        </is>
      </c>
      <c r="B43" s="24" t="n">
        <v>5</v>
      </c>
      <c r="C43" s="39" t="inlineStr">
        <is>
          <t>Delegação de Responsabilidades</t>
        </is>
      </c>
      <c r="D43" s="39" t="inlineStr">
        <is>
          <t>Capacidade de envolver líderes e distribuir tarefas com confiança.</t>
        </is>
      </c>
    </row>
    <row r="44" ht="22" customHeight="1">
      <c r="A44" s="66" t="inlineStr">
        <is>
          <t>Administração</t>
        </is>
      </c>
      <c r="B44" s="18" t="n">
        <v>6</v>
      </c>
      <c r="C44" s="37" t="inlineStr">
        <is>
          <t>Dirigi bem a Comissão da Igreja</t>
        </is>
      </c>
      <c r="D44" s="37" t="inlineStr">
        <is>
          <t>Condução eficiente, espiritual e democrática das reuniões da comissão.</t>
        </is>
      </c>
    </row>
    <row r="45" ht="22" customHeight="1">
      <c r="A45" s="67" t="inlineStr">
        <is>
          <t>Administração</t>
        </is>
      </c>
      <c r="B45" s="24" t="n">
        <v>7</v>
      </c>
      <c r="C45" s="39" t="inlineStr">
        <is>
          <t>Atualizado com as finanças da igreja</t>
        </is>
      </c>
      <c r="D45" s="39" t="inlineStr">
        <is>
          <t>Acompanhamento rigoroso das entradas de dízimos, ofertas e remessas.</t>
        </is>
      </c>
    </row>
    <row r="46" ht="22" customHeight="1">
      <c r="A46" s="66" t="inlineStr">
        <is>
          <t>Administração</t>
        </is>
      </c>
      <c r="B46" s="18" t="n">
        <v>8</v>
      </c>
      <c r="C46" s="37" t="inlineStr">
        <is>
          <t>Acompanhamento das atividades da igreja</t>
        </is>
      </c>
      <c r="D46" s="37" t="inlineStr">
        <is>
          <t>Supervisão constante dos departamentos e planos de ação.</t>
        </is>
      </c>
    </row>
    <row r="47" ht="22" customHeight="1">
      <c r="A47" s="67" t="inlineStr">
        <is>
          <t>Administração</t>
        </is>
      </c>
      <c r="B47" s="24" t="n">
        <v>9</v>
      </c>
      <c r="C47" s="39" t="inlineStr">
        <is>
          <t>Promoção das Atividades da Igreja</t>
        </is>
      </c>
      <c r="D47" s="39" t="inlineStr">
        <is>
          <t>Divulgação eficaz e motivação para os projetos da Missão e União.</t>
        </is>
      </c>
    </row>
    <row r="48" ht="22" customHeight="1">
      <c r="A48" s="66" t="inlineStr">
        <is>
          <t>Administração</t>
        </is>
      </c>
      <c r="B48" s="18" t="n">
        <v>10</v>
      </c>
      <c r="C48" s="37" t="inlineStr">
        <is>
          <t>Comunicação com a Liderança</t>
        </is>
      </c>
      <c r="D48" s="37" t="inlineStr">
        <is>
          <t>Fluição transparente de informações entre pastor, oficiais e Missão.</t>
        </is>
      </c>
    </row>
    <row r="49" ht="22" customHeight="1">
      <c r="A49" s="67" t="inlineStr">
        <is>
          <t>Administração</t>
        </is>
      </c>
      <c r="B49" s="24" t="n">
        <v>11</v>
      </c>
      <c r="C49" s="39" t="inlineStr">
        <is>
          <t>Liderança e motivação do grupo</t>
        </is>
      </c>
      <c r="D49" s="39" t="inlineStr">
        <is>
          <t>Inspiração de equipes locais para o alcance de metas missionárias.</t>
        </is>
      </c>
    </row>
    <row r="50" ht="22" customHeight="1">
      <c r="A50" s="66" t="inlineStr">
        <is>
          <t>Administração</t>
        </is>
      </c>
      <c r="B50" s="18" t="n">
        <v>12</v>
      </c>
      <c r="C50" s="37" t="inlineStr">
        <is>
          <t>Treinamento e orientação</t>
        </is>
      </c>
      <c r="D50" s="37" t="inlineStr">
        <is>
          <t>Capacitação contínua de oficiais, diáconos e líderes de departamentos.</t>
        </is>
      </c>
    </row>
    <row r="51" ht="22" customHeight="1">
      <c r="A51" s="67" t="inlineStr">
        <is>
          <t>Administração</t>
        </is>
      </c>
      <c r="B51" s="24" t="n">
        <v>13</v>
      </c>
      <c r="C51" s="39" t="inlineStr">
        <is>
          <t>Fidelidade aos regulamentos da Igreja</t>
        </is>
      </c>
      <c r="D51" s="39" t="inlineStr">
        <is>
          <t>Estrito respeito ao Manual da Igreja e diretrizes administrativas.</t>
        </is>
      </c>
    </row>
    <row r="52" ht="22" customHeight="1">
      <c r="A52" s="66" t="inlineStr">
        <is>
          <t>Administração</t>
        </is>
      </c>
      <c r="B52" s="18" t="n">
        <v>14</v>
      </c>
      <c r="C52" s="37" t="inlineStr">
        <is>
          <t>Planejamento Anual para o distrito</t>
        </is>
      </c>
      <c r="D52" s="37" t="inlineStr">
        <is>
          <t>Elaboração de um plano mestre integrado de metas e calendário.</t>
        </is>
      </c>
    </row>
    <row r="53" ht="22" customHeight="1">
      <c r="A53" s="67" t="inlineStr">
        <is>
          <t>Administração</t>
        </is>
      </c>
      <c r="B53" s="24" t="n">
        <v>15</v>
      </c>
      <c r="C53" s="39" t="inlineStr">
        <is>
          <t>Planejamento das atividades evangelísticas</t>
        </is>
      </c>
      <c r="D53" s="39" t="inlineStr">
        <is>
          <t>Estratégia clara para campanhas de colheita, pequenos grupos e missão.</t>
        </is>
      </c>
    </row>
    <row r="54" ht="22" customHeight="1">
      <c r="A54" s="66" t="inlineStr">
        <is>
          <t>Administração</t>
        </is>
      </c>
      <c r="B54" s="18" t="n">
        <v>16</v>
      </c>
      <c r="C54" s="37" t="inlineStr">
        <is>
          <t>Trabalho junto com a liderança</t>
        </is>
      </c>
      <c r="D54" s="37" t="inlineStr">
        <is>
          <t>Espírito de equipe e parceria fraterna com os anciãos e líderes.</t>
        </is>
      </c>
    </row>
  </sheetData>
  <autoFilter ref="A3:D54"/>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2026-08-19T21:29:44Z</dcterms:created>
  <dcterms:modified xsi:type="dcterms:W3CDTF">2026-08-20T10:35:57Z</dcterms:modified>
</cp:coreProperties>
</file>